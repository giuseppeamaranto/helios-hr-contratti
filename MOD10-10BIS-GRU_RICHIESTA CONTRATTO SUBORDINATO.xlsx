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epezzuto/CMCC Dropbox/CMCC-archivio/NORM-Normativa/19_ISO/1. ARCHIVIO_SISTEMA GESTIONE QUALITÀ/3. GRU_Gestione Risorse Umane/1. ITA/4. MODULISTICA/1. MODIFICABILI/"/>
    </mc:Choice>
  </mc:AlternateContent>
  <xr:revisionPtr revIDLastSave="0" documentId="13_ncr:1_{3CAA3534-01D4-774A-B8A9-BFD23257E5B1}" xr6:coauthVersionLast="47" xr6:coauthVersionMax="47" xr10:uidLastSave="{00000000-0000-0000-0000-000000000000}"/>
  <bookViews>
    <workbookView xWindow="8360" yWindow="780" windowWidth="25840" windowHeight="19940" xr2:uid="{00000000-000D-0000-FFFF-FFFF00000000}"/>
  </bookViews>
  <sheets>
    <sheet name="MOD10-10BIS-GRU" sheetId="1" r:id="rId1"/>
  </sheets>
  <definedNames>
    <definedName name="_xlnm.Print_Area" localSheetId="0">'MOD10-10BIS-GRU'!$A$4:$W$50</definedName>
    <definedName name="_xlnm.Print_Titles" localSheetId="0">'MOD10-10BIS-GRU'!$4:$14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23" i="1" l="1"/>
  <c r="M28" i="1"/>
  <c r="B28" i="1"/>
  <c r="Q28" i="1"/>
  <c r="G28" i="1" s="1"/>
  <c r="G34" i="1"/>
  <c r="S4" i="1"/>
  <c r="G30" i="1"/>
  <c r="Y22" i="1" l="1"/>
  <c r="G32" i="1" s="1"/>
  <c r="Q30" i="1"/>
  <c r="Q32" i="1" s="1"/>
  <c r="Q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CMCC CMCC</author>
  </authors>
  <commentList>
    <comment ref="B9" authorId="0" shapeId="0" xr:uid="{00000000-0006-0000-0000-000001000000}">
      <text>
        <r>
          <rPr>
            <b/>
            <sz val="9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Helvetica"/>
            <family val="2"/>
          </rPr>
          <t>Inserire nome e cognome della risorsa da assumere</t>
        </r>
      </text>
    </comment>
    <comment ref="B11" authorId="0" shapeId="0" xr:uid="{00000000-0006-0000-0000-000002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>scegliere il tipo di contratto dal menu a tendina</t>
        </r>
      </text>
    </comment>
    <comment ref="B13" authorId="0" shapeId="0" xr:uid="{00000000-0006-0000-0000-000003000000}">
      <text>
        <r>
          <rPr>
            <sz val="12"/>
            <color indexed="81"/>
            <rFont val="Helvetica"/>
            <family val="2"/>
          </rPr>
          <t xml:space="preserve">
Indicare se la risorsa ha/ha avuto altre collaborazioni con il CMCC</t>
        </r>
      </text>
    </comment>
    <comment ref="N15" authorId="0" shapeId="0" xr:uid="{00000000-0006-0000-0000-000004000000}">
      <text>
        <r>
          <rPr>
            <sz val="12"/>
            <color rgb="FF000000"/>
            <rFont val="Helvetica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 xml:space="preserve">Da compilare solo in caso di contratto a tempo determinato
</t>
        </r>
      </text>
    </comment>
    <comment ref="B17" authorId="0" shapeId="0" xr:uid="{00000000-0006-0000-0000-000005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>Indicare la mansione che svolgerà la risorsa</t>
        </r>
      </text>
    </comment>
    <comment ref="B22" authorId="0" shapeId="0" xr:uid="{00000000-0006-0000-0000-000006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>indicare la sede del CMCC presso cui lavorerà la risorsa</t>
        </r>
      </text>
    </comment>
    <comment ref="B24" authorId="0" shapeId="0" xr:uid="{00000000-0006-0000-0000-000008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>Scegliere dal menu a tendina una delle qualifiche interne CMCC</t>
        </r>
      </text>
    </comment>
    <comment ref="M24" authorId="0" shapeId="0" xr:uid="{00000000-0006-0000-0000-000009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 xml:space="preserve">Da compilare solo in caso di assunzione Impiegato. Scegliere dal menu a tendina il livello CCNL da assegnare
</t>
        </r>
      </text>
    </comment>
    <comment ref="B26" authorId="0" shapeId="0" xr:uid="{00000000-0006-0000-0000-00000A000000}">
      <text>
        <r>
          <rPr>
            <sz val="12"/>
            <color rgb="FF000000"/>
            <rFont val="Helvetica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>inserire il lordo collaboratore annuo (OPPURE il lordo collaboratore complessivo per contratti inferiori all'anno) Full Time</t>
        </r>
      </text>
    </comment>
    <comment ref="M26" authorId="0" shapeId="0" xr:uid="{00000000-0006-0000-0000-00000B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>Inserire % FT/PT (Full Time = 100)</t>
        </r>
      </text>
    </comment>
    <comment ref="B30" authorId="0" shapeId="0" xr:uid="{00000000-0006-0000-0000-00000C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u/>
            <sz val="12"/>
            <color rgb="FF000000"/>
            <rFont val="Helvetica"/>
            <family val="2"/>
          </rPr>
          <t>CAMPO CHE SI AUTOCOMPILA DOPO AVER SELEZIONATO LA TIPOLOGIA DEL CONTRATTO</t>
        </r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>Lordo azienda comprensivo di INPS piena, INAIL e TFR</t>
        </r>
      </text>
    </comment>
    <comment ref="M30" authorId="0" shapeId="0" xr:uid="{00000000-0006-0000-0000-00000D000000}">
      <text>
        <r>
          <rPr>
            <u/>
            <sz val="12"/>
            <color rgb="FF000000"/>
            <rFont val="Helvetica"/>
            <family val="2"/>
          </rPr>
          <t xml:space="preserve">
</t>
        </r>
        <r>
          <rPr>
            <u/>
            <sz val="12"/>
            <color rgb="FF000000"/>
            <rFont val="Helvetica"/>
            <family val="2"/>
          </rPr>
          <t>CAMPO CHE SI AUTOCOMPILA DOPO AVER SELEZIONATO LA TIPOLOGIA DEL CONTRATTO</t>
        </r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>Stima INDICATIVA del costo dei Fondi di categoria</t>
        </r>
      </text>
    </comment>
    <comment ref="B34" authorId="0" shapeId="0" xr:uid="{00000000-0006-0000-0000-00000E000000}">
      <text>
        <r>
          <rPr>
            <u/>
            <sz val="12"/>
            <color rgb="FF000000"/>
            <rFont val="Helvetica"/>
            <family val="2"/>
          </rPr>
          <t xml:space="preserve">
</t>
        </r>
        <r>
          <rPr>
            <u/>
            <sz val="12"/>
            <color rgb="FF000000"/>
            <rFont val="Helvetica"/>
            <family val="2"/>
          </rPr>
          <t>CAMPO CHE SI AUTOCOMPILA DOPO AVER SELEZIONATO LA TIPOLOGIA DEL CONTRATTO</t>
        </r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>Stima INDICATIVA del costo dei Buoni Pasto (altamente variabile in caso di PT)</t>
        </r>
      </text>
    </comment>
    <comment ref="N34" authorId="0" shapeId="0" xr:uid="{00000000-0006-0000-0000-00000F000000}">
      <text>
        <r>
          <rPr>
            <u/>
            <sz val="12"/>
            <color rgb="FF000000"/>
            <rFont val="Helvetica"/>
            <family val="2"/>
          </rPr>
          <t xml:space="preserve">
</t>
        </r>
        <r>
          <rPr>
            <u/>
            <sz val="12"/>
            <color rgb="FF000000"/>
            <rFont val="Helvetica"/>
            <family val="2"/>
          </rPr>
          <t>CAMPO CHE SI AUTOCOMPILA DOPO AVER SELEZIONATO LA TIPOLOGIA DEL CONTRATTO</t>
        </r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 xml:space="preserve">Totale degli importi precedenti </t>
        </r>
      </text>
    </comment>
    <comment ref="B38" authorId="0" shapeId="0" xr:uid="{00000000-0006-0000-0000-000010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 xml:space="preserve">Scegliere dal menu a tendina la divisione in cui lavorerà la risorsa. Se la risorsa va sui Costi Centrali indicare GENERICA
</t>
        </r>
      </text>
    </comment>
    <comment ref="M38" authorId="0" shapeId="0" xr:uid="{00000000-0006-0000-0000-000011000000}">
      <text>
        <r>
          <rPr>
            <sz val="12"/>
            <color rgb="FF000000"/>
            <rFont val="Helvetica"/>
            <family val="2"/>
          </rPr>
          <t xml:space="preserve">
</t>
        </r>
        <r>
          <rPr>
            <sz val="12"/>
            <color rgb="FF000000"/>
            <rFont val="Helvetica"/>
            <family val="2"/>
          </rPr>
          <t xml:space="preserve">Da compilare solo se la risorsa è sui Costi Centrali (Divisione = GENERICA)
</t>
        </r>
      </text>
    </comment>
    <comment ref="B40" authorId="0" shapeId="0" xr:uid="{00000000-0006-0000-0000-000012000000}">
      <text>
        <r>
          <rPr>
            <b/>
            <sz val="9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Helvetica"/>
            <family val="2"/>
          </rPr>
          <t xml:space="preserve">Eventuali altre informazioni </t>
        </r>
      </text>
    </comment>
  </commentList>
</comments>
</file>

<file path=xl/sharedStrings.xml><?xml version="1.0" encoding="utf-8"?>
<sst xmlns="http://schemas.openxmlformats.org/spreadsheetml/2006/main" count="193" uniqueCount="190">
  <si>
    <t>Lordo azienda</t>
  </si>
  <si>
    <t>Fondi</t>
  </si>
  <si>
    <t>Lordo Collaboratore FT</t>
  </si>
  <si>
    <t>Stima Buoni Pasto</t>
  </si>
  <si>
    <t>Data fine contratto</t>
  </si>
  <si>
    <t>Rinnovo</t>
  </si>
  <si>
    <t>Tipologia contratto</t>
  </si>
  <si>
    <t xml:space="preserve">Livello CCNL </t>
  </si>
  <si>
    <t xml:space="preserve">% Part Time </t>
  </si>
  <si>
    <t xml:space="preserve">Stima Fondi </t>
  </si>
  <si>
    <t>Nelle colonne Y-AD (area grigia) sono presenti dei commenti/note</t>
  </si>
  <si>
    <t>SI - VIAGGIATORE FREQUENTE</t>
  </si>
  <si>
    <t>Nome e Cognome</t>
  </si>
  <si>
    <t>Mansione</t>
  </si>
  <si>
    <t>Sede</t>
  </si>
  <si>
    <t>IL MODULO VA COMPILATO IN OGNI SUA PARTE.
PER CHIARIMENTI, SI PREGA DI CONTATTARE L'UFFICIO DEL PERSONALE</t>
    <phoneticPr fontId="9" type="noConversion"/>
  </si>
  <si>
    <t>SI - VIAGGIATORE OCCASIONALE</t>
    <phoneticPr fontId="9" type="noConversion"/>
  </si>
  <si>
    <t>Compilare solo le celle in giallo</t>
  </si>
  <si>
    <t/>
  </si>
  <si>
    <t>Data inizio contratto</t>
  </si>
  <si>
    <t>Qualifica</t>
  </si>
  <si>
    <t>Note</t>
  </si>
  <si>
    <t>Inps</t>
  </si>
  <si>
    <t>Inail</t>
  </si>
  <si>
    <t>Per andare a capo nelle celle usare:</t>
  </si>
  <si>
    <t>per Windows ALT + invio</t>
  </si>
  <si>
    <t>per Mac: CTRL + ALT + invio // ALT + mela</t>
  </si>
  <si>
    <t>Codifiche</t>
  </si>
  <si>
    <t>Jr Scientist</t>
  </si>
  <si>
    <t>NO</t>
  </si>
  <si>
    <t>indeterminato</t>
  </si>
  <si>
    <t>determinato</t>
  </si>
  <si>
    <t>dirigenti</t>
  </si>
  <si>
    <t>TFR</t>
  </si>
  <si>
    <t>Dirigente</t>
  </si>
  <si>
    <t>IMPIEGATI</t>
  </si>
  <si>
    <t>QUADRI</t>
  </si>
  <si>
    <t>DIR</t>
  </si>
  <si>
    <t>Impiegato a tempo indeterminato</t>
  </si>
  <si>
    <t>Impiegato a tempo determinato</t>
  </si>
  <si>
    <t>Quadro a tempo indeterminato</t>
  </si>
  <si>
    <t>Quadro a tempo determinato</t>
  </si>
  <si>
    <t>1°</t>
  </si>
  <si>
    <t>2°</t>
  </si>
  <si>
    <t>3°</t>
  </si>
  <si>
    <t>4°</t>
  </si>
  <si>
    <t>5°</t>
  </si>
  <si>
    <t>6°</t>
  </si>
  <si>
    <t>7°</t>
  </si>
  <si>
    <t>SEME</t>
  </si>
  <si>
    <t>QUALIFICHE</t>
  </si>
  <si>
    <t>TIPOLOGIA DI CONTRATTO</t>
  </si>
  <si>
    <t>ASSICURAZIONE</t>
  </si>
  <si>
    <t>RINNOVO</t>
  </si>
  <si>
    <t xml:space="preserve">Stima Welfare </t>
  </si>
  <si>
    <t>WELFARE</t>
  </si>
  <si>
    <t>SEDE</t>
  </si>
  <si>
    <t>Principal Scientist</t>
  </si>
  <si>
    <t xml:space="preserve">Scientist </t>
  </si>
  <si>
    <t>UNITÀ ORGANIZZATIVA</t>
  </si>
  <si>
    <t>IAFES</t>
  </si>
  <si>
    <t>RAAS</t>
  </si>
  <si>
    <t>REMHI</t>
  </si>
  <si>
    <t>SOWAS</t>
  </si>
  <si>
    <t>ECIP</t>
  </si>
  <si>
    <t>TCT</t>
  </si>
  <si>
    <t>ROFS</t>
  </si>
  <si>
    <t>ESYDA</t>
  </si>
  <si>
    <t>GOCO</t>
  </si>
  <si>
    <t>CLIVAP</t>
  </si>
  <si>
    <t>HIGH PERFORMANCE COMPUTING CENTER</t>
  </si>
  <si>
    <t>ADVANCED DIGITAL INNOVATION CENTER</t>
  </si>
  <si>
    <t>ADVANCED TRAINING AND EDUCATION CENTER</t>
  </si>
  <si>
    <t>FUND-RAISING</t>
  </si>
  <si>
    <t>COMMUNICATION &amp; SCIENCE OUTREACH</t>
  </si>
  <si>
    <t>GENERAL COUNSEL</t>
  </si>
  <si>
    <t>EXECUTIVE OFFICE</t>
  </si>
  <si>
    <t>LEGAL &amp; CONTRACT ADVISORY</t>
  </si>
  <si>
    <t>PUBLIC PROCUREMENT</t>
  </si>
  <si>
    <t>INFORMATION TECHNOLOGY</t>
  </si>
  <si>
    <t>FACILITY MGMT &amp; HSE</t>
  </si>
  <si>
    <t>Unità Organizzativa</t>
  </si>
  <si>
    <t>Centro di Costo</t>
  </si>
  <si>
    <t>CENTRO DI COSTO</t>
  </si>
  <si>
    <t>RICHIESTA CONTRATTO SUBORDINATO</t>
  </si>
  <si>
    <t>PEOPLE &amp; CULTURE</t>
  </si>
  <si>
    <t>Technical and administrative staff</t>
  </si>
  <si>
    <t>Integration of the planetary biogeochemical and industrial carbon cycle</t>
  </si>
  <si>
    <t>Predicting socio-economic impacts of climate change</t>
  </si>
  <si>
    <t>Global coasts as a new frontier</t>
  </si>
  <si>
    <t>Integrating AI and ML in the modeling chain</t>
  </si>
  <si>
    <t>Lecce - Via Marco Biagi, 5</t>
  </si>
  <si>
    <t>Bologna - Viale c. Berti Pichat 6/2</t>
  </si>
  <si>
    <t>Caserta - Via Thomas Alva Edison s.n.c.</t>
  </si>
  <si>
    <t>Milano - Largo Francesco Richini, 6</t>
  </si>
  <si>
    <t>Milano - Via Bergognone, 34</t>
  </si>
  <si>
    <t>Sassari - Via De Nicola, 9</t>
  </si>
  <si>
    <t>Venezia Marghera - Via della Libertà, 12</t>
  </si>
  <si>
    <t>Viterbo - Via Igino Garbini, 51</t>
  </si>
  <si>
    <t>ADMINISTRATION &amp; FINANCE</t>
  </si>
  <si>
    <t>PROJECT ADMINISTRATION &amp; MANAGEMENT CONTROL</t>
  </si>
  <si>
    <t>23100000 - IPSO</t>
  </si>
  <si>
    <t>23101001 - ICC</t>
  </si>
  <si>
    <t>23101002 - PSEO</t>
  </si>
  <si>
    <t>23101003 - GCNF</t>
  </si>
  <si>
    <t>23101004 - AIML</t>
  </si>
  <si>
    <t>23101100 - ICR</t>
  </si>
  <si>
    <t>23101102 - IAFES</t>
  </si>
  <si>
    <t>23101103 - RAAS</t>
  </si>
  <si>
    <t>23101104 - REMHI</t>
  </si>
  <si>
    <t>23101106 - SOWAS</t>
  </si>
  <si>
    <t>23101200 - EIEE</t>
  </si>
  <si>
    <t>23101201 - SEME</t>
  </si>
  <si>
    <t>23101202 - ECIP</t>
  </si>
  <si>
    <t>23101203 - TCT</t>
  </si>
  <si>
    <t>23101300 - IESP</t>
  </si>
  <si>
    <t>23101305 - GOCO</t>
  </si>
  <si>
    <t>23101306 - ESYDA</t>
  </si>
  <si>
    <t>23101307 - CLIVAP</t>
  </si>
  <si>
    <t>23101308 - ROFS</t>
  </si>
  <si>
    <t>23101500 - ADIC</t>
  </si>
  <si>
    <t>23101400 - ATEC</t>
  </si>
  <si>
    <t>23102101 - CDA, Comitato Esec.</t>
  </si>
  <si>
    <t>23102102 - Collegio Revisori</t>
  </si>
  <si>
    <t>23102103 - Consiglio Scientifico</t>
  </si>
  <si>
    <t>23102201 - Fund Raising</t>
  </si>
  <si>
    <t>23102202 - Communication e Science Outreach</t>
  </si>
  <si>
    <t>23102203 - IT</t>
  </si>
  <si>
    <t>23102205 - Legal e Contract Advisory</t>
  </si>
  <si>
    <t>23102206 - People e Culture</t>
  </si>
  <si>
    <t>23102207 - Executive Office</t>
  </si>
  <si>
    <t>23102208 - Division Manager</t>
  </si>
  <si>
    <t>23102209 - Facility Mgmt e HSE</t>
  </si>
  <si>
    <t>23102210 - Amministrazione Generico</t>
  </si>
  <si>
    <t>23102211 - Altri costi centrali</t>
  </si>
  <si>
    <t>23102301 - Old Data Center</t>
  </si>
  <si>
    <t>23102302 - Data Center</t>
  </si>
  <si>
    <t>23102303 - Conness. reti e dati</t>
  </si>
  <si>
    <t>23102401 - Comitato strategico</t>
  </si>
  <si>
    <t>23102402 - Partecipazioni</t>
  </si>
  <si>
    <t>23102403 - Annual meeting</t>
  </si>
  <si>
    <t>23102404 - Cooperaz. Scientif.</t>
  </si>
  <si>
    <t>23102405 - Fellows programme</t>
  </si>
  <si>
    <t>23102406 - Direzione Scientific</t>
  </si>
  <si>
    <t>23102407 - Leadership Group</t>
  </si>
  <si>
    <t>23102408 - Riviste abbonamenti servizi alla ricerca</t>
  </si>
  <si>
    <t>23103010 - Bologna</t>
  </si>
  <si>
    <t>23103020 - Caserta</t>
  </si>
  <si>
    <t>23103030 - Lecce</t>
  </si>
  <si>
    <t>23103031 - Lecce Spazio</t>
  </si>
  <si>
    <t>23103040 - Milano Base</t>
  </si>
  <si>
    <t>23103050 - Torino</t>
  </si>
  <si>
    <t>23103060 - Civitavecchia</t>
  </si>
  <si>
    <t>23103070 - Milano Regus</t>
  </si>
  <si>
    <t>23103080 - Sassari</t>
  </si>
  <si>
    <t>23103090 - Venezia</t>
  </si>
  <si>
    <t>23103100 - Viterbo</t>
  </si>
  <si>
    <t>23104000 - Altra Formazione Superiore</t>
  </si>
  <si>
    <t>23106000 - Infrastrutture</t>
  </si>
  <si>
    <t>23102104 - Organismo di Vigilanza</t>
  </si>
  <si>
    <t>23102212 - General Counsel</t>
  </si>
  <si>
    <t>23102213 - Public Procurement</t>
  </si>
  <si>
    <t>23102304 - Servizi Cybersecurity</t>
  </si>
  <si>
    <t>23102220 - Licenze e Acquisti IT</t>
  </si>
  <si>
    <t>23107100 - Direzione Operations</t>
  </si>
  <si>
    <t>23102214 - Project Admin &amp; Management Control</t>
  </si>
  <si>
    <t>23102204 - AF</t>
  </si>
  <si>
    <t>Sr Scientist</t>
  </si>
  <si>
    <t>Principal Associate Scientist</t>
  </si>
  <si>
    <t>Sr Associate Scientist</t>
  </si>
  <si>
    <t>Associate Scientist</t>
  </si>
  <si>
    <t>Jr Associate Scientist</t>
  </si>
  <si>
    <t>Principal Scientific Mgr</t>
  </si>
  <si>
    <t>Sr Scientific Mgr</t>
  </si>
  <si>
    <t>Jr Scientific Mgr</t>
  </si>
  <si>
    <t>Milano - Via Savona</t>
  </si>
  <si>
    <t>23103110 - Milano Via Savona</t>
  </si>
  <si>
    <t>QA</t>
  </si>
  <si>
    <t>QB</t>
  </si>
  <si>
    <t>D</t>
  </si>
  <si>
    <t>Proroga T. Determinato</t>
  </si>
  <si>
    <t>Trasformazione </t>
  </si>
  <si>
    <t>FIRMA DEL DIRETTORE/HEAD</t>
  </si>
  <si>
    <t>Costo totale  con Welfare</t>
  </si>
  <si>
    <t>Costo totale senza Welfare</t>
  </si>
  <si>
    <t>LUOGO E DATA</t>
  </si>
  <si>
    <t>MOD10-GRU-REV21-11.11.2025</t>
  </si>
  <si>
    <t>MOD10BIS-GRU-REV21-11.11.2025</t>
  </si>
  <si>
    <t>Nome e Cognome del Direttore/Head</t>
  </si>
  <si>
    <t>Attenzione: da completare prima di firmare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</si>
</sst>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&quot;€&quot;\ * #,##0.00_-;\-&quot;€&quot;\ * #,##0.00_-;_-&quot;€&quot;\ * &quot;-&quot;??_-;_-@_-"/>
    <numFmt numFmtId="165" formatCode="&quot;€&quot;\ #,##0.00"/>
    <numFmt numFmtId="166" formatCode="dd/mm/yy;@"/>
  </numFmts>
  <fonts count="40" x14ac:knownFonts="1">
    <font>
      <sz val="11"/>
      <color theme="1"/>
      <name val="Calibri"/>
      <family val="2"/>
      <scheme val="minor"/>
    </font>
    <font>
      <sz val="11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10"/>
      <name val="Arial Narrow"/>
      <family val="2"/>
    </font>
    <font>
      <sz val="11"/>
      <color theme="1"/>
      <name val="Calibri"/>
      <family val="2"/>
      <scheme val="minor"/>
    </font>
    <font>
      <sz val="11"/>
      <color indexed="8"/>
      <name val="Arial Narrow"/>
      <family val="2"/>
    </font>
    <font>
      <i/>
      <sz val="11"/>
      <color indexed="8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8"/>
      <name val="Verdana"/>
      <family val="2"/>
    </font>
    <font>
      <sz val="11"/>
      <color indexed="55"/>
      <name val="Arial Narrow"/>
      <family val="2"/>
    </font>
    <font>
      <sz val="11"/>
      <color indexed="8"/>
      <name val="Helvetica"/>
      <family val="2"/>
    </font>
    <font>
      <u/>
      <sz val="11"/>
      <color theme="11"/>
      <name val="Calibri"/>
      <family val="2"/>
      <scheme val="minor"/>
    </font>
    <font>
      <b/>
      <sz val="9"/>
      <color indexed="81"/>
      <name val="Calibri"/>
      <family val="2"/>
    </font>
    <font>
      <sz val="11"/>
      <color indexed="8"/>
      <name val="Arial Narrow"/>
      <family val="2"/>
    </font>
    <font>
      <sz val="11"/>
      <color indexed="9"/>
      <name val="Arial Narrow"/>
      <family val="2"/>
    </font>
    <font>
      <b/>
      <sz val="11"/>
      <color indexed="9"/>
      <name val="Arial Narrow"/>
      <family val="2"/>
    </font>
    <font>
      <sz val="12"/>
      <color indexed="8"/>
      <name val="Helvetica"/>
      <family val="2"/>
    </font>
    <font>
      <sz val="11"/>
      <color indexed="8"/>
      <name val="Helvetica"/>
      <family val="2"/>
    </font>
    <font>
      <sz val="11"/>
      <color rgb="FF000000"/>
      <name val="Calibri"/>
      <family val="2"/>
      <scheme val="minor"/>
    </font>
    <font>
      <sz val="11"/>
      <color indexed="8"/>
      <name val="Arial Narrow"/>
      <family val="2"/>
    </font>
    <font>
      <u/>
      <sz val="11"/>
      <color theme="10"/>
      <name val="Calibri"/>
      <family val="2"/>
      <scheme val="minor"/>
    </font>
    <font>
      <sz val="12"/>
      <color indexed="81"/>
      <name val="Helvetica"/>
      <family val="2"/>
    </font>
    <font>
      <b/>
      <sz val="12"/>
      <color indexed="8"/>
      <name val="Helvetica"/>
      <family val="2"/>
    </font>
    <font>
      <sz val="12"/>
      <color indexed="8"/>
      <name val="Helvetica"/>
      <family val="2"/>
    </font>
    <font>
      <sz val="12"/>
      <color indexed="8"/>
      <name val="Arial Narrow"/>
      <family val="2"/>
    </font>
    <font>
      <sz val="12"/>
      <color indexed="8"/>
      <name val="Helvetica"/>
      <family val="2"/>
    </font>
    <font>
      <b/>
      <sz val="14"/>
      <color indexed="8"/>
      <name val="Helvetica"/>
      <family val="2"/>
    </font>
    <font>
      <u/>
      <sz val="12"/>
      <color rgb="FF000000"/>
      <name val="Helvetica"/>
      <family val="2"/>
    </font>
    <font>
      <b/>
      <sz val="9"/>
      <color rgb="FF000000"/>
      <name val="Calibri"/>
      <family val="2"/>
    </font>
    <font>
      <sz val="12"/>
      <color rgb="FF000000"/>
      <name val="Helvetica"/>
      <family val="2"/>
    </font>
    <font>
      <b/>
      <sz val="11"/>
      <color indexed="8"/>
      <name val="Helvetica"/>
      <family val="2"/>
    </font>
    <font>
      <sz val="10"/>
      <color theme="1"/>
      <name val="Arial"/>
      <family val="2"/>
    </font>
    <font>
      <b/>
      <sz val="12"/>
      <color rgb="FF000000"/>
      <name val="Helvetica"/>
      <family val="2"/>
    </font>
    <font>
      <b/>
      <sz val="16"/>
      <color rgb="FF000000"/>
      <name val="Arial Narrow"/>
      <family val="2"/>
    </font>
    <font>
      <sz val="12"/>
      <color rgb="FF222222"/>
      <name val="Arial"/>
      <family val="2"/>
    </font>
    <font>
      <sz val="12"/>
      <color theme="0"/>
      <name val="Helvetica"/>
      <family val="2"/>
    </font>
    <font>
      <sz val="12"/>
      <name val="Helvetica"/>
      <family val="2"/>
    </font>
    <font>
      <b/>
      <sz val="12"/>
      <color rgb="FFFF0000"/>
      <name val="Helvetica"/>
      <family val="2"/>
    </font>
    <font>
      <b/>
      <sz val="11"/>
      <color rgb="FFFF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</fills>
  <borders count="2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7" fillId="0" borderId="0"/>
    <xf numFmtId="0" fontId="12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23">
    <xf numFmtId="0" fontId="0" fillId="0" borderId="0" xfId="0"/>
    <xf numFmtId="0" fontId="2" fillId="2" borderId="0" xfId="0" applyFont="1" applyFill="1" applyAlignment="1">
      <alignment wrapText="1"/>
    </xf>
    <xf numFmtId="0" fontId="1" fillId="2" borderId="0" xfId="0" applyFont="1" applyFill="1"/>
    <xf numFmtId="0" fontId="3" fillId="2" borderId="0" xfId="0" applyFont="1" applyFill="1"/>
    <xf numFmtId="0" fontId="2" fillId="2" borderId="0" xfId="0" applyFont="1" applyFill="1"/>
    <xf numFmtId="0" fontId="1" fillId="0" borderId="0" xfId="0" applyFont="1"/>
    <xf numFmtId="0" fontId="1" fillId="4" borderId="0" xfId="0" applyFont="1" applyFill="1"/>
    <xf numFmtId="0" fontId="5" fillId="4" borderId="0" xfId="0" applyFont="1" applyFill="1"/>
    <xf numFmtId="4" fontId="5" fillId="4" borderId="0" xfId="0" applyNumberFormat="1" applyFont="1" applyFill="1"/>
    <xf numFmtId="0" fontId="14" fillId="2" borderId="0" xfId="0" applyFont="1" applyFill="1"/>
    <xf numFmtId="0" fontId="14" fillId="0" borderId="0" xfId="0" applyFont="1"/>
    <xf numFmtId="0" fontId="14" fillId="2" borderId="2" xfId="0" applyFont="1" applyFill="1" applyBorder="1" applyAlignment="1" applyProtection="1">
      <alignment horizontal="left" indent="1"/>
      <protection hidden="1"/>
    </xf>
    <xf numFmtId="10" fontId="14" fillId="2" borderId="2" xfId="2" applyNumberFormat="1" applyFont="1" applyFill="1" applyBorder="1" applyProtection="1">
      <protection hidden="1"/>
    </xf>
    <xf numFmtId="10" fontId="14" fillId="2" borderId="2" xfId="0" applyNumberFormat="1" applyFont="1" applyFill="1" applyBorder="1" applyProtection="1">
      <protection hidden="1"/>
    </xf>
    <xf numFmtId="0" fontId="14" fillId="2" borderId="2" xfId="0" applyFont="1" applyFill="1" applyBorder="1" applyAlignment="1">
      <alignment horizontal="left" indent="1"/>
    </xf>
    <xf numFmtId="0" fontId="14" fillId="2" borderId="2" xfId="0" applyFont="1" applyFill="1" applyBorder="1" applyProtection="1"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vertical="top" wrapText="1"/>
    </xf>
    <xf numFmtId="165" fontId="14" fillId="2" borderId="0" xfId="0" applyNumberFormat="1" applyFont="1" applyFill="1"/>
    <xf numFmtId="0" fontId="14" fillId="2" borderId="0" xfId="0" applyFont="1" applyFill="1" applyAlignment="1">
      <alignment horizontal="center"/>
    </xf>
    <xf numFmtId="0" fontId="14" fillId="4" borderId="0" xfId="0" applyFont="1" applyFill="1"/>
    <xf numFmtId="4" fontId="14" fillId="4" borderId="0" xfId="0" applyNumberFormat="1" applyFont="1" applyFill="1"/>
    <xf numFmtId="0" fontId="14" fillId="5" borderId="0" xfId="0" applyFont="1" applyFill="1" applyProtection="1">
      <protection hidden="1"/>
    </xf>
    <xf numFmtId="0" fontId="14" fillId="5" borderId="0" xfId="0" applyFont="1" applyFill="1" applyAlignment="1" applyProtection="1">
      <alignment horizontal="center"/>
      <protection hidden="1"/>
    </xf>
    <xf numFmtId="0" fontId="14" fillId="2" borderId="2" xfId="0" applyFont="1" applyFill="1" applyBorder="1" applyAlignment="1">
      <alignment horizontal="left" wrapText="1" indent="1"/>
    </xf>
    <xf numFmtId="0" fontId="15" fillId="6" borderId="0" xfId="0" applyFont="1" applyFill="1"/>
    <xf numFmtId="0" fontId="16" fillId="6" borderId="0" xfId="0" applyFont="1" applyFill="1" applyAlignment="1" applyProtection="1">
      <alignment horizontal="center"/>
      <protection hidden="1"/>
    </xf>
    <xf numFmtId="0" fontId="18" fillId="0" borderId="0" xfId="0" applyFont="1"/>
    <xf numFmtId="0" fontId="19" fillId="0" borderId="0" xfId="0" applyFont="1"/>
    <xf numFmtId="0" fontId="18" fillId="7" borderId="0" xfId="0" applyFont="1" applyFill="1"/>
    <xf numFmtId="0" fontId="20" fillId="0" borderId="0" xfId="0" applyFont="1"/>
    <xf numFmtId="0" fontId="20" fillId="7" borderId="0" xfId="0" applyFont="1" applyFill="1"/>
    <xf numFmtId="0" fontId="25" fillId="0" borderId="0" xfId="0" applyFont="1"/>
    <xf numFmtId="0" fontId="8" fillId="2" borderId="0" xfId="0" applyFont="1" applyFill="1"/>
    <xf numFmtId="165" fontId="8" fillId="2" borderId="0" xfId="0" applyNumberFormat="1" applyFont="1" applyFill="1"/>
    <xf numFmtId="0" fontId="8" fillId="2" borderId="0" xfId="0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/>
    <xf numFmtId="0" fontId="31" fillId="0" borderId="0" xfId="0" applyFont="1"/>
    <xf numFmtId="0" fontId="32" fillId="0" borderId="0" xfId="0" applyFont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165" fontId="23" fillId="0" borderId="0" xfId="0" applyNumberFormat="1" applyFont="1" applyAlignment="1">
      <alignment horizontal="center" vertical="center"/>
    </xf>
    <xf numFmtId="0" fontId="17" fillId="0" borderId="0" xfId="0" applyFont="1" applyAlignment="1" applyProtection="1">
      <alignment vertical="top"/>
      <protection locked="0"/>
    </xf>
    <xf numFmtId="0" fontId="27" fillId="0" borderId="0" xfId="0" applyFont="1" applyAlignment="1">
      <alignment vertical="center"/>
    </xf>
    <xf numFmtId="0" fontId="35" fillId="0" borderId="0" xfId="0" applyFont="1"/>
    <xf numFmtId="0" fontId="17" fillId="0" borderId="0" xfId="0" applyFont="1" applyAlignment="1">
      <alignment horizontal="right" vertical="center" wrapText="1"/>
    </xf>
    <xf numFmtId="164" fontId="24" fillId="0" borderId="0" xfId="0" applyNumberFormat="1" applyFont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/>
      <protection locked="0"/>
    </xf>
    <xf numFmtId="0" fontId="38" fillId="0" borderId="0" xfId="0" applyFont="1"/>
    <xf numFmtId="0" fontId="6" fillId="0" borderId="0" xfId="0" applyFont="1"/>
    <xf numFmtId="0" fontId="37" fillId="0" borderId="0" xfId="0" applyFont="1"/>
    <xf numFmtId="0" fontId="17" fillId="0" borderId="0" xfId="0" applyFont="1" applyAlignment="1">
      <alignment horizontal="left" vertical="center"/>
    </xf>
    <xf numFmtId="0" fontId="17" fillId="3" borderId="0" xfId="0" applyFont="1" applyFill="1" applyAlignment="1" applyProtection="1">
      <alignment horizontal="center" vertical="center"/>
      <protection locked="0"/>
    </xf>
    <xf numFmtId="165" fontId="33" fillId="0" borderId="23" xfId="0" applyNumberFormat="1" applyFont="1" applyBorder="1" applyAlignment="1">
      <alignment horizontal="center" vertical="center"/>
    </xf>
    <xf numFmtId="165" fontId="33" fillId="0" borderId="4" xfId="0" applyNumberFormat="1" applyFont="1" applyBorder="1" applyAlignment="1">
      <alignment horizontal="center" vertical="center"/>
    </xf>
    <xf numFmtId="165" fontId="33" fillId="0" borderId="22" xfId="0" applyNumberFormat="1" applyFont="1" applyBorder="1" applyAlignment="1">
      <alignment horizontal="center" vertical="center"/>
    </xf>
    <xf numFmtId="0" fontId="17" fillId="4" borderId="0" xfId="0" applyFont="1" applyFill="1" applyAlignment="1" applyProtection="1">
      <alignment horizontal="center" vertical="top"/>
      <protection locked="0"/>
    </xf>
    <xf numFmtId="0" fontId="24" fillId="0" borderId="0" xfId="0" applyFont="1" applyAlignment="1">
      <alignment horizontal="center"/>
    </xf>
    <xf numFmtId="166" fontId="24" fillId="8" borderId="6" xfId="0" applyNumberFormat="1" applyFont="1" applyFill="1" applyBorder="1" applyAlignment="1" applyProtection="1">
      <alignment horizontal="center"/>
      <protection locked="0"/>
    </xf>
    <xf numFmtId="0" fontId="17" fillId="3" borderId="6" xfId="0" applyFont="1" applyFill="1" applyBorder="1" applyAlignment="1" applyProtection="1">
      <alignment horizontal="center" vertical="top"/>
      <protection locked="0"/>
    </xf>
    <xf numFmtId="0" fontId="16" fillId="6" borderId="0" xfId="0" applyFont="1" applyFill="1" applyAlignment="1" applyProtection="1">
      <alignment horizontal="center"/>
      <protection hidden="1"/>
    </xf>
    <xf numFmtId="2" fontId="1" fillId="2" borderId="3" xfId="0" applyNumberFormat="1" applyFont="1" applyFill="1" applyBorder="1" applyAlignment="1">
      <alignment horizontal="center"/>
    </xf>
    <xf numFmtId="2" fontId="1" fillId="2" borderId="5" xfId="0" applyNumberFormat="1" applyFont="1" applyFill="1" applyBorder="1" applyAlignment="1">
      <alignment horizontal="center"/>
    </xf>
    <xf numFmtId="0" fontId="30" fillId="0" borderId="0" xfId="0" applyFont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4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horizontal="right" vertical="center"/>
    </xf>
    <xf numFmtId="164" fontId="36" fillId="0" borderId="0" xfId="0" applyNumberFormat="1" applyFont="1" applyAlignment="1">
      <alignment horizontal="center"/>
    </xf>
    <xf numFmtId="44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17" fillId="3" borderId="6" xfId="0" applyFont="1" applyFill="1" applyBorder="1" applyAlignment="1" applyProtection="1">
      <alignment horizontal="center"/>
      <protection locked="0"/>
    </xf>
    <xf numFmtId="0" fontId="17" fillId="3" borderId="6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right" vertical="center"/>
    </xf>
    <xf numFmtId="164" fontId="24" fillId="8" borderId="6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5" fillId="0" borderId="2" xfId="0" applyFont="1" applyBorder="1" applyAlignment="1">
      <alignment horizontal="center"/>
    </xf>
    <xf numFmtId="0" fontId="3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7" fillId="0" borderId="15" xfId="0" applyFont="1" applyBorder="1" applyAlignment="1">
      <alignment horizontal="left" vertical="center"/>
    </xf>
    <xf numFmtId="0" fontId="17" fillId="0" borderId="0" xfId="0" applyFont="1" applyAlignment="1">
      <alignment horizontal="right" vertical="center" wrapText="1"/>
    </xf>
    <xf numFmtId="0" fontId="17" fillId="0" borderId="15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/>
    </xf>
    <xf numFmtId="0" fontId="17" fillId="0" borderId="15" xfId="0" applyFont="1" applyBorder="1" applyAlignment="1">
      <alignment horizontal="right" vertical="center"/>
    </xf>
    <xf numFmtId="166" fontId="17" fillId="8" borderId="6" xfId="0" applyNumberFormat="1" applyFont="1" applyFill="1" applyBorder="1" applyAlignment="1" applyProtection="1">
      <alignment horizontal="center"/>
      <protection locked="0"/>
    </xf>
    <xf numFmtId="0" fontId="17" fillId="3" borderId="12" xfId="0" applyFont="1" applyFill="1" applyBorder="1" applyAlignment="1" applyProtection="1">
      <alignment horizontal="center"/>
      <protection locked="0"/>
    </xf>
    <xf numFmtId="0" fontId="17" fillId="3" borderId="13" xfId="0" applyFont="1" applyFill="1" applyBorder="1" applyAlignment="1" applyProtection="1">
      <alignment horizontal="center"/>
      <protection locked="0"/>
    </xf>
    <xf numFmtId="0" fontId="17" fillId="3" borderId="14" xfId="0" applyFont="1" applyFill="1" applyBorder="1" applyAlignment="1" applyProtection="1">
      <alignment horizontal="center"/>
      <protection locked="0"/>
    </xf>
    <xf numFmtId="0" fontId="17" fillId="3" borderId="1" xfId="0" applyFont="1" applyFill="1" applyBorder="1" applyAlignment="1" applyProtection="1">
      <alignment horizontal="center"/>
      <protection locked="0"/>
    </xf>
    <xf numFmtId="0" fontId="17" fillId="3" borderId="0" xfId="0" applyFont="1" applyFill="1" applyAlignment="1" applyProtection="1">
      <alignment horizontal="center"/>
      <protection locked="0"/>
    </xf>
    <xf numFmtId="0" fontId="17" fillId="3" borderId="15" xfId="0" applyFont="1" applyFill="1" applyBorder="1" applyAlignment="1" applyProtection="1">
      <alignment horizontal="center"/>
      <protection locked="0"/>
    </xf>
    <xf numFmtId="0" fontId="17" fillId="3" borderId="16" xfId="0" applyFont="1" applyFill="1" applyBorder="1" applyAlignment="1" applyProtection="1">
      <alignment horizontal="center"/>
      <protection locked="0"/>
    </xf>
    <xf numFmtId="0" fontId="17" fillId="3" borderId="17" xfId="0" applyFont="1" applyFill="1" applyBorder="1" applyAlignment="1" applyProtection="1">
      <alignment horizontal="center"/>
      <protection locked="0"/>
    </xf>
    <xf numFmtId="0" fontId="17" fillId="3" borderId="18" xfId="0" applyFont="1" applyFill="1" applyBorder="1" applyAlignment="1" applyProtection="1">
      <alignment horizontal="center"/>
      <protection locked="0"/>
    </xf>
    <xf numFmtId="0" fontId="17" fillId="0" borderId="17" xfId="0" applyFont="1" applyBorder="1" applyAlignment="1">
      <alignment horizontal="center" wrapText="1"/>
    </xf>
    <xf numFmtId="0" fontId="17" fillId="3" borderId="7" xfId="0" applyFont="1" applyFill="1" applyBorder="1" applyAlignment="1" applyProtection="1">
      <alignment horizontal="center"/>
      <protection locked="0"/>
    </xf>
    <xf numFmtId="0" fontId="17" fillId="3" borderId="8" xfId="0" applyFont="1" applyFill="1" applyBorder="1" applyAlignment="1" applyProtection="1">
      <alignment horizontal="center"/>
      <protection locked="0"/>
    </xf>
    <xf numFmtId="0" fontId="17" fillId="3" borderId="9" xfId="0" applyFont="1" applyFill="1" applyBorder="1" applyAlignment="1" applyProtection="1">
      <alignment horizontal="center"/>
      <protection locked="0"/>
    </xf>
    <xf numFmtId="0" fontId="17" fillId="3" borderId="19" xfId="0" applyFont="1" applyFill="1" applyBorder="1" applyAlignment="1" applyProtection="1">
      <alignment horizontal="center"/>
      <protection locked="0"/>
    </xf>
    <xf numFmtId="0" fontId="17" fillId="3" borderId="20" xfId="0" applyFont="1" applyFill="1" applyBorder="1" applyAlignment="1" applyProtection="1">
      <alignment horizontal="center"/>
      <protection locked="0"/>
    </xf>
    <xf numFmtId="0" fontId="17" fillId="3" borderId="10" xfId="0" applyFont="1" applyFill="1" applyBorder="1" applyAlignment="1" applyProtection="1">
      <alignment horizontal="center"/>
      <protection locked="0"/>
    </xf>
    <xf numFmtId="0" fontId="17" fillId="3" borderId="11" xfId="0" applyFont="1" applyFill="1" applyBorder="1" applyAlignment="1" applyProtection="1">
      <alignment horizontal="center"/>
      <protection locked="0"/>
    </xf>
    <xf numFmtId="164" fontId="17" fillId="3" borderId="6" xfId="1" applyFont="1" applyFill="1" applyBorder="1" applyAlignment="1" applyProtection="1">
      <alignment horizontal="center"/>
      <protection locked="0"/>
    </xf>
    <xf numFmtId="0" fontId="17" fillId="0" borderId="20" xfId="0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1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  <xf numFmtId="0" fontId="1" fillId="3" borderId="17" xfId="0" applyFont="1" applyFill="1" applyBorder="1" applyAlignment="1" applyProtection="1">
      <alignment horizontal="center"/>
      <protection locked="0"/>
    </xf>
  </cellXfs>
  <cellStyles count="7">
    <cellStyle name="Collegamento ipertestuale" xfId="6" builtinId="8" hidden="1"/>
    <cellStyle name="Collegamento ipertestuale visitato" xfId="5" builtinId="9" hidden="1"/>
    <cellStyle name="Excel Built-in Normal" xfId="3" xr:uid="{00000000-0005-0000-0000-000002000000}"/>
    <cellStyle name="Normale" xfId="0" builtinId="0"/>
    <cellStyle name="Normale 2" xfId="4" xr:uid="{00000000-0005-0000-0000-000004000000}"/>
    <cellStyle name="Percentuale" xfId="2" builtinId="5"/>
    <cellStyle name="Valuta" xfId="1" builtinId="4"/>
  </cellStyles>
  <dxfs count="3">
    <dxf>
      <fill>
        <patternFill>
          <bgColor rgb="FFFFFFCC"/>
        </patternFill>
      </fill>
      <border>
        <bottom style="hair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rgb="FFFFFFCC"/>
        </patternFill>
      </fill>
      <border>
        <bottom style="hair">
          <color auto="1"/>
        </bottom>
        <vertical/>
        <horizontal/>
      </border>
    </dxf>
  </dxfs>
  <tableStyles count="0" defaultTableStyle="TableStyleMedium2" defaultPivotStyle="PivotStyleMedium7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111126</xdr:colOff>
      <xdr:row>3</xdr:row>
      <xdr:rowOff>76200</xdr:rowOff>
    </xdr:from>
    <xdr:to>
      <xdr:col>6</xdr:col>
      <xdr:colOff>290858</xdr:colOff>
      <xdr:row>5</xdr:row>
      <xdr:rowOff>203200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50" t="17918" r="6750" b="15607"/>
        <a:stretch>
          <a:fillRect/>
        </a:stretch>
      </xdr:blipFill>
      <xdr:spPr bwMode="auto">
        <a:xfrm>
          <a:off x="250826" y="774700"/>
          <a:ext cx="1906932" cy="73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133"/>
  <sheetViews>
    <sheetView showGridLines="0" tabSelected="1" topLeftCell="A24" zoomScaleNormal="100" workbookViewId="0">
      <selection activeCell="B48" sqref="B48:H48"/>
    </sheetView>
  </sheetViews>
  <sheetFormatPr baseColWidth="10" defaultColWidth="0" defaultRowHeight="24" customHeight="1" zeroHeight="1" outlineLevelCol="2" x14ac:dyDescent="0.15"/>
  <cols>
    <col min="1" max="1" width="1.83203125" style="5" customWidth="1"/>
    <col min="2" max="2" width="2.83203125" style="5" customWidth="1"/>
    <col min="3" max="3" width="3.33203125" style="5" customWidth="1"/>
    <col min="4" max="23" width="5.5" style="5" customWidth="1"/>
    <col min="24" max="24" width="5.5" style="2" customWidth="1"/>
    <col min="25" max="25" width="13.6640625" style="2" customWidth="1"/>
    <col min="26" max="26" width="10.33203125" style="2" bestFit="1" customWidth="1"/>
    <col min="27" max="27" width="9.1640625" style="2" bestFit="1" customWidth="1"/>
    <col min="28" max="28" width="10.33203125" style="2" bestFit="1" customWidth="1"/>
    <col min="29" max="29" width="8.6640625" style="2" customWidth="1"/>
    <col min="30" max="30" width="6.5" style="2" customWidth="1"/>
    <col min="31" max="31" width="5" style="2" customWidth="1"/>
    <col min="32" max="32" width="5" style="5" hidden="1" customWidth="1" outlineLevel="2"/>
    <col min="33" max="51" width="5" style="5" hidden="1" customWidth="1"/>
    <col min="52" max="16384" width="10.83203125" style="5" hidden="1"/>
  </cols>
  <sheetData>
    <row r="1" spans="1:42" s="9" customFormat="1" ht="27" customHeight="1" x14ac:dyDescent="0.15">
      <c r="A1" s="86" t="s">
        <v>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1"/>
    </row>
    <row r="2" spans="1:42" s="9" customFormat="1" ht="14" x14ac:dyDescent="0.15">
      <c r="A2" s="87" t="s">
        <v>10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3"/>
    </row>
    <row r="3" spans="1:42" s="9" customFormat="1" ht="14" x14ac:dyDescent="0.15">
      <c r="A3" s="88" t="s">
        <v>17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4"/>
      <c r="AG3" s="9" t="s">
        <v>27</v>
      </c>
    </row>
    <row r="4" spans="1:42" s="10" customFormat="1" ht="24" customHeight="1" x14ac:dyDescent="0.15">
      <c r="A4" s="39"/>
      <c r="B4" s="89"/>
      <c r="C4" s="89"/>
      <c r="D4" s="89"/>
      <c r="E4" s="89"/>
      <c r="F4" s="89"/>
      <c r="G4" s="89"/>
      <c r="H4" s="90" t="s">
        <v>84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2" t="str">
        <f>IF(G11=AM49,AG4,IF(G11=AM51,AG4,IF(G11=AM53,AG4,IF(G11=AM50,AG5,IF(G11=AM52,AG5,"Scegliere il tipo di contratto")))))</f>
        <v>Scegliere il tipo di contratto</v>
      </c>
      <c r="T4" s="92"/>
      <c r="U4" s="92"/>
      <c r="V4" s="92"/>
      <c r="W4" s="92"/>
      <c r="X4" s="2"/>
      <c r="Y4" s="27"/>
      <c r="Z4" s="67" t="s">
        <v>35</v>
      </c>
      <c r="AA4" s="67"/>
      <c r="AB4" s="67" t="s">
        <v>36</v>
      </c>
      <c r="AC4" s="67"/>
      <c r="AD4" s="28" t="s">
        <v>37</v>
      </c>
      <c r="AE4" s="9"/>
      <c r="AG4" s="84" t="s">
        <v>186</v>
      </c>
      <c r="AH4" s="84"/>
      <c r="AI4" s="84"/>
      <c r="AJ4" s="84"/>
      <c r="AK4" s="84"/>
    </row>
    <row r="5" spans="1:42" s="10" customFormat="1" ht="24" customHeight="1" x14ac:dyDescent="0.15">
      <c r="A5" s="5"/>
      <c r="B5" s="89"/>
      <c r="C5" s="89"/>
      <c r="D5" s="89"/>
      <c r="E5" s="89"/>
      <c r="F5" s="89"/>
      <c r="G5" s="89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2"/>
      <c r="T5" s="92"/>
      <c r="U5" s="92"/>
      <c r="V5" s="92"/>
      <c r="W5" s="92"/>
      <c r="X5" s="2"/>
      <c r="Y5" s="24"/>
      <c r="Z5" s="25" t="s">
        <v>30</v>
      </c>
      <c r="AA5" s="25" t="s">
        <v>31</v>
      </c>
      <c r="AB5" s="25" t="s">
        <v>30</v>
      </c>
      <c r="AC5" s="25" t="s">
        <v>31</v>
      </c>
      <c r="AD5" s="25" t="s">
        <v>32</v>
      </c>
      <c r="AE5" s="9"/>
      <c r="AG5" s="84" t="s">
        <v>187</v>
      </c>
      <c r="AH5" s="85"/>
      <c r="AI5" s="85"/>
      <c r="AJ5" s="85"/>
      <c r="AK5" s="85"/>
    </row>
    <row r="6" spans="1:42" s="10" customFormat="1" ht="24" customHeight="1" x14ac:dyDescent="0.15">
      <c r="A6" s="5"/>
      <c r="B6" s="89"/>
      <c r="C6" s="89"/>
      <c r="D6" s="89"/>
      <c r="E6" s="89"/>
      <c r="F6" s="89"/>
      <c r="G6" s="89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2"/>
      <c r="T6" s="92"/>
      <c r="U6" s="92"/>
      <c r="V6" s="92"/>
      <c r="W6" s="92"/>
      <c r="X6" s="2"/>
      <c r="Y6" s="11" t="s">
        <v>22</v>
      </c>
      <c r="Z6" s="12">
        <v>0.2898</v>
      </c>
      <c r="AA6" s="12">
        <v>0.30380000000000001</v>
      </c>
      <c r="AB6" s="12">
        <v>0.2898</v>
      </c>
      <c r="AC6" s="12">
        <v>0.30380000000000001</v>
      </c>
      <c r="AD6" s="12">
        <v>0.26540000000000002</v>
      </c>
      <c r="AE6" s="9"/>
    </row>
    <row r="7" spans="1:42" s="10" customFormat="1" ht="24" customHeight="1" x14ac:dyDescent="0.15">
      <c r="A7" s="5"/>
      <c r="B7" s="5"/>
      <c r="C7" s="5"/>
      <c r="D7" s="5"/>
      <c r="E7" s="5"/>
      <c r="F7" s="5"/>
      <c r="G7" s="5"/>
      <c r="H7" s="5"/>
      <c r="I7" s="50"/>
      <c r="J7" s="50"/>
      <c r="K7" s="50"/>
      <c r="L7" s="50"/>
      <c r="M7" s="50"/>
      <c r="N7" s="50"/>
      <c r="O7" s="50"/>
      <c r="P7" s="50"/>
      <c r="Q7" s="56"/>
      <c r="T7" s="84"/>
      <c r="U7" s="84"/>
      <c r="V7" s="84"/>
      <c r="W7" s="5"/>
      <c r="X7" s="2"/>
      <c r="Y7" s="11" t="s">
        <v>23</v>
      </c>
      <c r="Z7" s="13">
        <v>4.0000000000000001E-3</v>
      </c>
      <c r="AA7" s="13">
        <v>4.0000000000000001E-3</v>
      </c>
      <c r="AB7" s="13">
        <v>4.0000000000000001E-3</v>
      </c>
      <c r="AC7" s="13">
        <v>4.0000000000000001E-3</v>
      </c>
      <c r="AD7" s="13">
        <v>7.0000000000000001E-3</v>
      </c>
      <c r="AE7" s="9"/>
    </row>
    <row r="8" spans="1:42" s="10" customFormat="1" ht="24" customHeight="1" x14ac:dyDescent="0.2">
      <c r="A8" s="5"/>
      <c r="I8" s="50"/>
      <c r="J8" s="50"/>
      <c r="K8" s="50"/>
      <c r="L8" s="50"/>
      <c r="M8" s="50"/>
      <c r="N8" s="50"/>
      <c r="O8" s="50"/>
      <c r="P8" s="50"/>
      <c r="Q8" s="50"/>
      <c r="R8" s="50"/>
      <c r="S8" s="38"/>
      <c r="T8" s="38"/>
      <c r="U8" s="38"/>
      <c r="V8" s="38"/>
      <c r="W8" s="38"/>
      <c r="X8" s="2"/>
      <c r="Y8" s="14" t="s">
        <v>33</v>
      </c>
      <c r="Z8" s="15">
        <v>13.5</v>
      </c>
      <c r="AA8" s="15">
        <v>13.5</v>
      </c>
      <c r="AB8" s="15">
        <v>13.5</v>
      </c>
      <c r="AC8" s="15">
        <v>13.5</v>
      </c>
      <c r="AD8" s="15">
        <v>13.5</v>
      </c>
      <c r="AE8" s="9"/>
    </row>
    <row r="9" spans="1:42" s="10" customFormat="1" ht="24" customHeight="1" x14ac:dyDescent="0.2">
      <c r="A9" s="5"/>
      <c r="B9" s="58" t="s">
        <v>12</v>
      </c>
      <c r="C9" s="58"/>
      <c r="D9" s="58"/>
      <c r="E9" s="58"/>
      <c r="F9" s="58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38"/>
      <c r="X9" s="2"/>
      <c r="Y9" s="26" t="s">
        <v>1</v>
      </c>
      <c r="Z9" s="15">
        <v>400</v>
      </c>
      <c r="AA9" s="15">
        <v>400</v>
      </c>
      <c r="AB9" s="15">
        <v>1000</v>
      </c>
      <c r="AC9" s="15">
        <v>1000</v>
      </c>
      <c r="AD9" s="15">
        <v>16960</v>
      </c>
      <c r="AE9" s="9"/>
    </row>
    <row r="10" spans="1:42" s="10" customFormat="1" ht="24" customHeight="1" x14ac:dyDescent="0.2">
      <c r="A10" s="5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2"/>
      <c r="Y10" s="16" t="s">
        <v>24</v>
      </c>
      <c r="Z10" s="9"/>
      <c r="AA10" s="9"/>
      <c r="AB10" s="9"/>
      <c r="AC10" s="9"/>
      <c r="AD10" s="9"/>
      <c r="AE10" s="9"/>
    </row>
    <row r="11" spans="1:42" s="10" customFormat="1" ht="24" customHeight="1" x14ac:dyDescent="0.15">
      <c r="A11" s="5"/>
      <c r="B11" s="58" t="s">
        <v>6</v>
      </c>
      <c r="C11" s="58"/>
      <c r="D11" s="58"/>
      <c r="E11" s="58"/>
      <c r="F11" s="58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5"/>
      <c r="X11" s="2"/>
      <c r="Y11" s="9" t="s">
        <v>25</v>
      </c>
      <c r="Z11" s="17"/>
      <c r="AA11" s="17"/>
      <c r="AB11" s="17"/>
      <c r="AC11" s="9"/>
      <c r="AD11" s="9"/>
      <c r="AE11" s="9"/>
      <c r="AG11" s="10" t="s">
        <v>42</v>
      </c>
      <c r="AO11" s="43" t="s">
        <v>56</v>
      </c>
    </row>
    <row r="12" spans="1:42" s="10" customFormat="1" ht="24" customHeight="1" x14ac:dyDescent="0.2">
      <c r="A12" s="5"/>
      <c r="W12" s="5"/>
      <c r="X12" s="2"/>
      <c r="Y12" s="17" t="s">
        <v>26</v>
      </c>
      <c r="Z12" s="17"/>
      <c r="AA12" s="17"/>
      <c r="AB12" s="17"/>
      <c r="AC12" s="9"/>
      <c r="AD12" s="9"/>
      <c r="AE12" s="9"/>
      <c r="AG12" s="10" t="s">
        <v>43</v>
      </c>
      <c r="AO12" t="s">
        <v>91</v>
      </c>
      <c r="AP12" s="29"/>
    </row>
    <row r="13" spans="1:42" s="10" customFormat="1" ht="24" customHeight="1" x14ac:dyDescent="0.2">
      <c r="A13" s="5"/>
      <c r="B13" s="58" t="s">
        <v>5</v>
      </c>
      <c r="C13" s="58"/>
      <c r="D13" s="58"/>
      <c r="E13" s="58"/>
      <c r="F13" s="58"/>
      <c r="G13" s="59"/>
      <c r="H13" s="59"/>
      <c r="I13" s="59"/>
      <c r="J13" s="59"/>
      <c r="K13" s="42"/>
      <c r="W13" s="5"/>
      <c r="X13" s="2"/>
      <c r="Y13" s="9"/>
      <c r="Z13" s="9"/>
      <c r="AA13" s="9"/>
      <c r="AB13" s="9"/>
      <c r="AC13" s="9"/>
      <c r="AD13" s="9"/>
      <c r="AE13" s="9"/>
      <c r="AG13" s="10" t="s">
        <v>44</v>
      </c>
      <c r="AO13" t="s">
        <v>92</v>
      </c>
      <c r="AP13" s="29"/>
    </row>
    <row r="14" spans="1:42" s="10" customFormat="1" ht="24" customHeight="1" x14ac:dyDescent="0.2">
      <c r="A14" s="39"/>
      <c r="W14" s="5"/>
      <c r="X14" s="2"/>
      <c r="Y14" s="9"/>
      <c r="Z14" s="9"/>
      <c r="AA14" s="9"/>
      <c r="AB14" s="9"/>
      <c r="AC14" s="17"/>
      <c r="AD14" s="9"/>
      <c r="AE14" s="9"/>
      <c r="AG14" s="10" t="s">
        <v>45</v>
      </c>
      <c r="AO14" t="s">
        <v>93</v>
      </c>
      <c r="AP14" s="29"/>
    </row>
    <row r="15" spans="1:42" s="10" customFormat="1" ht="24" customHeight="1" x14ac:dyDescent="0.2">
      <c r="A15" s="5"/>
      <c r="B15" s="58" t="s">
        <v>19</v>
      </c>
      <c r="C15" s="58"/>
      <c r="D15" s="58"/>
      <c r="E15" s="58"/>
      <c r="F15" s="58"/>
      <c r="G15" s="98"/>
      <c r="H15" s="65"/>
      <c r="I15" s="65"/>
      <c r="J15" s="65"/>
      <c r="K15" s="65"/>
      <c r="N15" s="64" t="s">
        <v>4</v>
      </c>
      <c r="O15" s="64"/>
      <c r="P15" s="64"/>
      <c r="Q15" s="64"/>
      <c r="R15" s="65"/>
      <c r="S15" s="65"/>
      <c r="T15" s="65"/>
      <c r="U15" s="65"/>
      <c r="V15" s="65"/>
      <c r="W15" s="5"/>
      <c r="X15" s="2"/>
      <c r="Y15" s="9"/>
      <c r="Z15" s="9"/>
      <c r="AA15" s="9"/>
      <c r="AB15" s="9"/>
      <c r="AC15" s="9"/>
      <c r="AD15" s="9"/>
      <c r="AE15" s="9"/>
      <c r="AG15" s="10" t="s">
        <v>46</v>
      </c>
      <c r="AO15" t="s">
        <v>94</v>
      </c>
      <c r="AP15" s="29"/>
    </row>
    <row r="16" spans="1:42" s="10" customFormat="1" ht="24" customHeight="1" x14ac:dyDescent="0.2">
      <c r="A16" s="5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2"/>
      <c r="Y16" s="9"/>
      <c r="Z16" s="9"/>
      <c r="AA16" s="9"/>
      <c r="AB16" s="9"/>
      <c r="AC16" s="9"/>
      <c r="AD16" s="9"/>
      <c r="AE16" s="9"/>
      <c r="AG16" s="10" t="s">
        <v>47</v>
      </c>
      <c r="AO16" t="s">
        <v>95</v>
      </c>
      <c r="AP16" s="29"/>
    </row>
    <row r="17" spans="1:51" s="10" customFormat="1" ht="24" customHeight="1" x14ac:dyDescent="0.2">
      <c r="A17" s="5"/>
      <c r="B17" s="58" t="s">
        <v>13</v>
      </c>
      <c r="C17" s="58"/>
      <c r="D17" s="58"/>
      <c r="E17" s="58"/>
      <c r="F17" s="58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5"/>
      <c r="X17" s="2"/>
      <c r="Y17" s="18"/>
      <c r="Z17" s="18"/>
      <c r="AA17" s="18"/>
      <c r="AB17" s="18"/>
      <c r="AC17" s="9"/>
      <c r="AD17" s="9"/>
      <c r="AE17" s="9"/>
      <c r="AG17" s="5" t="s">
        <v>48</v>
      </c>
      <c r="AO17" t="s">
        <v>175</v>
      </c>
      <c r="AP17" s="29"/>
    </row>
    <row r="18" spans="1:51" s="10" customFormat="1" ht="24" customHeight="1" x14ac:dyDescent="0.2">
      <c r="A18" s="5"/>
      <c r="B18" s="58"/>
      <c r="C18" s="58"/>
      <c r="D18" s="58"/>
      <c r="E18" s="58"/>
      <c r="F18" s="58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5"/>
      <c r="X18" s="2"/>
      <c r="Y18" s="18"/>
      <c r="Z18" s="18"/>
      <c r="AA18" s="18"/>
      <c r="AB18" s="18"/>
      <c r="AC18" s="9"/>
      <c r="AD18" s="9"/>
      <c r="AE18" s="9"/>
      <c r="AG18" s="5" t="s">
        <v>177</v>
      </c>
      <c r="AO18" t="s">
        <v>96</v>
      </c>
      <c r="AP18" s="29"/>
    </row>
    <row r="19" spans="1:51" s="10" customFormat="1" ht="24" customHeight="1" x14ac:dyDescent="0.2">
      <c r="A19" s="5"/>
      <c r="B19" s="58"/>
      <c r="C19" s="58"/>
      <c r="D19" s="58"/>
      <c r="E19" s="58"/>
      <c r="F19" s="58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5"/>
      <c r="X19" s="2"/>
      <c r="Y19" s="9"/>
      <c r="Z19" s="9"/>
      <c r="AA19" s="9"/>
      <c r="AB19" s="9"/>
      <c r="AC19" s="9"/>
      <c r="AD19" s="9"/>
      <c r="AE19" s="9"/>
      <c r="AG19" s="5" t="s">
        <v>178</v>
      </c>
      <c r="AO19" t="s">
        <v>97</v>
      </c>
      <c r="AP19" s="29"/>
    </row>
    <row r="20" spans="1:51" s="10" customFormat="1" ht="24" customHeight="1" x14ac:dyDescent="0.2">
      <c r="A20" s="39"/>
      <c r="B20" s="58"/>
      <c r="C20" s="58"/>
      <c r="D20" s="58"/>
      <c r="E20" s="58"/>
      <c r="F20" s="58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5"/>
      <c r="X20" s="2"/>
      <c r="Y20" s="9"/>
      <c r="Z20" s="9"/>
      <c r="AA20" s="9"/>
      <c r="AB20" s="9"/>
      <c r="AC20" s="9"/>
      <c r="AD20" s="9"/>
      <c r="AE20" s="9"/>
      <c r="AG20" s="5" t="s">
        <v>179</v>
      </c>
      <c r="AO20" t="s">
        <v>98</v>
      </c>
      <c r="AP20" s="29"/>
    </row>
    <row r="21" spans="1:51" s="10" customFormat="1" ht="24" customHeight="1" x14ac:dyDescent="0.2">
      <c r="A21" s="39"/>
      <c r="B21" s="38"/>
      <c r="C21" s="38"/>
      <c r="D21" s="38"/>
      <c r="E21" s="38"/>
      <c r="F21" s="38"/>
      <c r="G21" s="38"/>
      <c r="H21" s="40"/>
      <c r="I21" s="40"/>
      <c r="J21" s="40"/>
      <c r="K21" s="40"/>
      <c r="L21" s="40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5"/>
      <c r="X21" s="2"/>
      <c r="Y21" s="67" t="s">
        <v>55</v>
      </c>
      <c r="Z21" s="67"/>
      <c r="AA21" s="9"/>
      <c r="AB21" s="9"/>
      <c r="AC21" s="9"/>
      <c r="AD21" s="9"/>
      <c r="AE21" s="9"/>
      <c r="AG21" s="5"/>
      <c r="AO21" s="29"/>
      <c r="AP21" s="29"/>
    </row>
    <row r="22" spans="1:51" s="10" customFormat="1" ht="24" customHeight="1" x14ac:dyDescent="0.2">
      <c r="A22" s="39"/>
      <c r="B22" s="58" t="s">
        <v>14</v>
      </c>
      <c r="C22" s="58"/>
      <c r="D22" s="58"/>
      <c r="E22" s="58"/>
      <c r="F22" s="58"/>
      <c r="G22" s="81"/>
      <c r="H22" s="81"/>
      <c r="I22" s="81"/>
      <c r="J22" s="81"/>
      <c r="K22" s="81"/>
      <c r="L22" s="81"/>
      <c r="M22" s="49"/>
      <c r="O22" s="38"/>
      <c r="P22" s="49"/>
      <c r="Q22" s="63"/>
      <c r="R22" s="63"/>
      <c r="S22" s="63"/>
      <c r="T22" s="63"/>
      <c r="U22" s="63"/>
      <c r="V22" s="63"/>
      <c r="W22" s="5"/>
      <c r="X22" s="2"/>
      <c r="Y22" s="68">
        <f>IF(OR(G11="Impiegato a tempo indeterminato",G11="Quadro a tempo indeterminato",G11="Dirigente"),2000,IF(DATEDIF(G15,R15,"D")&gt;=355,2000,2000/365*DATEDIF(G15,R15,"D")))</f>
        <v>0</v>
      </c>
      <c r="Z22" s="69"/>
      <c r="AA22" s="9"/>
      <c r="AB22" s="9"/>
      <c r="AC22" s="9"/>
      <c r="AD22" s="9"/>
      <c r="AE22" s="9"/>
      <c r="AG22" s="43" t="s">
        <v>53</v>
      </c>
      <c r="AO22" s="29"/>
      <c r="AP22" s="29"/>
    </row>
    <row r="23" spans="1:51" s="10" customFormat="1" ht="24" customHeight="1" x14ac:dyDescent="0.2">
      <c r="A23" s="5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 t="s">
        <v>18</v>
      </c>
      <c r="N23" s="38"/>
      <c r="O23" s="38"/>
      <c r="P23" s="38"/>
      <c r="Q23" s="55" t="str">
        <f>IF(G11="DIRIGENTE","INSERIRE LIVELLO 'D'","")</f>
        <v/>
      </c>
      <c r="R23" s="38"/>
      <c r="S23" s="38"/>
      <c r="T23" s="38"/>
      <c r="U23" s="38" t="s">
        <v>18</v>
      </c>
      <c r="V23" s="38"/>
      <c r="W23" s="5"/>
      <c r="X23" s="2"/>
      <c r="Y23" s="9"/>
      <c r="Z23" s="9"/>
      <c r="AA23" s="9"/>
      <c r="AB23" s="9"/>
      <c r="AC23" s="9"/>
      <c r="AD23" s="9"/>
      <c r="AE23" s="9"/>
      <c r="AG23" s="5" t="s">
        <v>180</v>
      </c>
      <c r="AO23" s="29"/>
      <c r="AP23" s="29"/>
    </row>
    <row r="24" spans="1:51" s="10" customFormat="1" ht="24" customHeight="1" x14ac:dyDescent="0.2">
      <c r="A24" s="5"/>
      <c r="B24" s="58" t="s">
        <v>20</v>
      </c>
      <c r="C24" s="58"/>
      <c r="D24" s="58"/>
      <c r="E24" s="58"/>
      <c r="F24" s="58"/>
      <c r="G24" s="81"/>
      <c r="H24" s="81"/>
      <c r="I24" s="81"/>
      <c r="J24" s="81"/>
      <c r="K24" s="81"/>
      <c r="L24" s="81"/>
      <c r="M24" s="82" t="s">
        <v>7</v>
      </c>
      <c r="N24" s="82"/>
      <c r="O24" s="82"/>
      <c r="P24" s="82"/>
      <c r="Q24" s="80"/>
      <c r="R24" s="80"/>
      <c r="S24" s="80"/>
      <c r="T24" s="80"/>
      <c r="U24" s="80"/>
      <c r="V24" s="80"/>
      <c r="W24" s="5"/>
      <c r="X24" s="2"/>
      <c r="Y24" s="19"/>
      <c r="Z24" s="19"/>
      <c r="AA24" s="19"/>
      <c r="AB24" s="19"/>
      <c r="AC24" s="19"/>
      <c r="AD24" s="9"/>
      <c r="AE24" s="9"/>
      <c r="AG24" s="10" t="s">
        <v>181</v>
      </c>
      <c r="AH24" s="29"/>
      <c r="AI24" s="30"/>
      <c r="AO24" s="29"/>
    </row>
    <row r="25" spans="1:51" s="10" customFormat="1" ht="24" customHeight="1" x14ac:dyDescent="0.2">
      <c r="A25" s="5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5"/>
      <c r="X25" s="2"/>
      <c r="Y25" s="19"/>
      <c r="Z25" s="19"/>
      <c r="AA25" s="19"/>
      <c r="AB25" s="19"/>
      <c r="AC25" s="19"/>
      <c r="AD25" s="9"/>
      <c r="AE25" s="9"/>
      <c r="AH25" s="29"/>
      <c r="AI25" s="29"/>
    </row>
    <row r="26" spans="1:51" s="10" customFormat="1" ht="24" customHeight="1" x14ac:dyDescent="0.2">
      <c r="A26" s="5"/>
      <c r="B26" s="58" t="s">
        <v>2</v>
      </c>
      <c r="C26" s="58"/>
      <c r="D26" s="58"/>
      <c r="E26" s="58"/>
      <c r="F26" s="58"/>
      <c r="G26" s="83"/>
      <c r="H26" s="83"/>
      <c r="I26" s="83"/>
      <c r="J26" s="83"/>
      <c r="K26" s="83"/>
      <c r="L26" s="83"/>
      <c r="M26" s="82" t="s">
        <v>8</v>
      </c>
      <c r="N26" s="82"/>
      <c r="O26" s="82"/>
      <c r="P26" s="82"/>
      <c r="Q26" s="80"/>
      <c r="R26" s="80"/>
      <c r="S26" s="80"/>
      <c r="T26" s="80"/>
      <c r="U26" s="80"/>
      <c r="V26" s="80"/>
      <c r="W26" s="5"/>
      <c r="X26" s="2"/>
      <c r="Y26" s="19"/>
      <c r="Z26" s="19"/>
      <c r="AA26" s="19"/>
      <c r="AB26" s="19"/>
      <c r="AC26" s="19"/>
      <c r="AD26" s="9"/>
      <c r="AE26" s="9"/>
      <c r="AH26" s="31"/>
      <c r="AI26" s="33"/>
      <c r="AL26" s="44" t="s">
        <v>50</v>
      </c>
    </row>
    <row r="27" spans="1:51" s="10" customFormat="1" ht="24" customHeight="1" x14ac:dyDescent="0.2">
      <c r="A27" s="5"/>
      <c r="B27" s="46"/>
      <c r="C27" s="46"/>
      <c r="D27" s="46"/>
      <c r="E27" s="46"/>
      <c r="F27" s="46"/>
      <c r="G27" s="53"/>
      <c r="H27" s="53"/>
      <c r="I27" s="53"/>
      <c r="J27" s="53"/>
      <c r="K27" s="53"/>
      <c r="L27" s="53"/>
      <c r="M27" s="47"/>
      <c r="N27" s="47"/>
      <c r="O27" s="47"/>
      <c r="P27" s="47"/>
      <c r="Q27" s="54"/>
      <c r="R27" s="54"/>
      <c r="S27" s="54"/>
      <c r="T27" s="54"/>
      <c r="U27" s="54"/>
      <c r="V27" s="54"/>
      <c r="W27" s="5"/>
      <c r="X27" s="2"/>
      <c r="Y27" s="19"/>
      <c r="Z27" s="19"/>
      <c r="AA27" s="19"/>
      <c r="AB27" s="19"/>
      <c r="AC27" s="19"/>
      <c r="AD27" s="35"/>
      <c r="AE27" s="9"/>
      <c r="AG27" s="29"/>
      <c r="AH27" s="29"/>
      <c r="AI27" s="29"/>
      <c r="AL27" s="45" t="s">
        <v>57</v>
      </c>
      <c r="AM27" s="45"/>
      <c r="AW27" s="43" t="s">
        <v>83</v>
      </c>
      <c r="AX27" s="43"/>
    </row>
    <row r="28" spans="1:51" s="10" customFormat="1" ht="24" customHeight="1" x14ac:dyDescent="0.2">
      <c r="A28" s="5"/>
      <c r="B28" s="75" t="str">
        <f>IF(OR($G$24=$AL$27,$G$24=$AL$28,$G$24=$AL$29,$G$24=$AL$30),"FISSA[€]","")</f>
        <v/>
      </c>
      <c r="C28" s="75"/>
      <c r="D28" s="75"/>
      <c r="E28" s="75"/>
      <c r="F28" s="75"/>
      <c r="G28" s="77">
        <f>G26-Q28</f>
        <v>0</v>
      </c>
      <c r="H28" s="77"/>
      <c r="I28" s="77"/>
      <c r="J28" s="77"/>
      <c r="K28" s="77"/>
      <c r="L28" s="77"/>
      <c r="M28" s="76" t="str">
        <f>IF(OR($G$24=$AL$27,$G$24=$AL$28,$G$24=$AL$29,$G$24=$AL$30),"QVR=1","")</f>
        <v/>
      </c>
      <c r="N28" s="76"/>
      <c r="O28" s="76"/>
      <c r="P28" s="76"/>
      <c r="Q28" s="78">
        <f>G26/5</f>
        <v>0</v>
      </c>
      <c r="R28" s="79"/>
      <c r="S28" s="79"/>
      <c r="T28" s="79"/>
      <c r="U28" s="79"/>
      <c r="V28" s="79"/>
      <c r="W28" s="5"/>
      <c r="X28" s="2"/>
      <c r="Y28" s="19"/>
      <c r="Z28" s="19"/>
      <c r="AA28" s="19"/>
      <c r="AB28" s="19"/>
      <c r="AC28" s="19"/>
      <c r="AD28" s="35"/>
      <c r="AE28" s="9"/>
      <c r="AG28" s="29"/>
      <c r="AH28" s="31"/>
      <c r="AI28" s="32"/>
      <c r="AL28" s="45" t="s">
        <v>167</v>
      </c>
      <c r="AM28" s="45"/>
      <c r="AN28" s="45"/>
      <c r="AP28" s="45"/>
      <c r="AQ28" s="45"/>
      <c r="AR28" s="45"/>
      <c r="AS28" s="45"/>
      <c r="AW28" t="s">
        <v>101</v>
      </c>
      <c r="AX28" s="29"/>
      <c r="AY28" s="29"/>
    </row>
    <row r="29" spans="1:51" s="10" customFormat="1" ht="24" customHeight="1" x14ac:dyDescent="0.2">
      <c r="A29" s="5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5"/>
      <c r="X29" s="2"/>
      <c r="Y29" s="19"/>
      <c r="Z29" s="19"/>
      <c r="AA29" s="19"/>
      <c r="AB29" s="19"/>
      <c r="AC29" s="19"/>
      <c r="AD29" s="35"/>
      <c r="AE29" s="9"/>
      <c r="AG29" s="29"/>
      <c r="AH29" s="31"/>
      <c r="AI29" s="32"/>
      <c r="AL29" s="45" t="s">
        <v>58</v>
      </c>
      <c r="AM29" s="45"/>
      <c r="AN29" s="45"/>
      <c r="AO29" s="45"/>
      <c r="AP29" s="45"/>
      <c r="AQ29" s="45"/>
      <c r="AR29" s="45"/>
      <c r="AS29" s="45"/>
      <c r="AW29" t="s">
        <v>102</v>
      </c>
      <c r="AX29" s="29"/>
      <c r="AY29" s="29"/>
    </row>
    <row r="30" spans="1:51" s="10" customFormat="1" ht="30" customHeight="1" x14ac:dyDescent="0.2">
      <c r="A30" s="5"/>
      <c r="B30" s="58" t="s">
        <v>0</v>
      </c>
      <c r="C30" s="58"/>
      <c r="D30" s="58"/>
      <c r="E30" s="58"/>
      <c r="F30" s="93"/>
      <c r="G30" s="72" t="str">
        <f>((IF($G$11="Impiegato a tempo indeterminato",($G$26*(1+$Z$6+$Z$7+1/$Z$8)*$Q$26/100),IF($G$11="Impiegato a tempo determinato",($G$26*(1+$AA$6+$AA$7+1/$AA$8)*$Q$26/100),IF($G$11="Quadro a tempo indeterminato",($G$26*(1+$AB$6+$AB$7+1/$AB$8)*$Q$26/100),IF($G$11="Quadro a tempo determinato",($G$26*(1+$AC$6+$AC$7+1/$AC$8)*$Q$26/100),IF($G$11="Dirigente",($G$26*(1+$AD$6+$AD$7+1/$AD$8)*$Q$26/100),"Scegliere tipologia contratto")))))))</f>
        <v>Scegliere tipologia contratto</v>
      </c>
      <c r="H30" s="73"/>
      <c r="I30" s="73"/>
      <c r="J30" s="73"/>
      <c r="K30" s="73"/>
      <c r="L30" s="74"/>
      <c r="M30" s="96" t="s">
        <v>9</v>
      </c>
      <c r="N30" s="82"/>
      <c r="O30" s="82"/>
      <c r="P30" s="97"/>
      <c r="Q30" s="72" t="str">
        <f>(IF($G$11="Impiegato a tempo indeterminato",($Z$9*$Q$26/100),IF($G$11="Impiegato a tempo determinato",($AA$9*$Q$26/100),IF($G$11="Quadro a tempo indeterminato",($AB$9*$Q$26/100),IF($G$11="Quadro a tempo determinato",($AC$9*$Q$26/100),IF($G$11="Dirigente",($AD$9*$Q$26/100),"Scegliere tipologia contratto"))))))</f>
        <v>Scegliere tipologia contratto</v>
      </c>
      <c r="R30" s="73"/>
      <c r="S30" s="73"/>
      <c r="T30" s="73"/>
      <c r="U30" s="73"/>
      <c r="V30" s="74"/>
      <c r="X30" s="2"/>
      <c r="Y30" s="19"/>
      <c r="Z30" s="19"/>
      <c r="AA30" s="19"/>
      <c r="AB30" s="19"/>
      <c r="AC30" s="19"/>
      <c r="AD30" s="35"/>
      <c r="AE30" s="9"/>
      <c r="AG30" t="s">
        <v>59</v>
      </c>
      <c r="AH30" s="31"/>
      <c r="AI30" s="32"/>
      <c r="AL30" s="45" t="s">
        <v>28</v>
      </c>
      <c r="AM30" s="45"/>
      <c r="AN30" s="45"/>
      <c r="AO30" s="45"/>
      <c r="AP30" s="45"/>
      <c r="AQ30" s="45"/>
      <c r="AR30" s="45"/>
      <c r="AS30" s="45"/>
      <c r="AW30" t="s">
        <v>103</v>
      </c>
      <c r="AX30" s="29"/>
      <c r="AY30" s="29"/>
    </row>
    <row r="31" spans="1:51" s="10" customFormat="1" ht="24" customHeight="1" x14ac:dyDescent="0.2">
      <c r="A31" s="5"/>
      <c r="B31" s="46"/>
      <c r="C31" s="46"/>
      <c r="D31" s="46"/>
      <c r="E31" s="46"/>
      <c r="F31" s="46"/>
      <c r="G31" s="48"/>
      <c r="H31" s="48"/>
      <c r="I31" s="48"/>
      <c r="J31" s="48"/>
      <c r="K31" s="48"/>
      <c r="L31" s="48"/>
      <c r="M31" s="47"/>
      <c r="N31" s="47"/>
      <c r="O31" s="47"/>
      <c r="P31" s="47"/>
      <c r="Q31" s="48"/>
      <c r="R31" s="48"/>
      <c r="S31" s="48"/>
      <c r="T31" s="48"/>
      <c r="U31" s="48"/>
      <c r="V31" s="48"/>
      <c r="X31" s="2"/>
      <c r="Y31" s="19"/>
      <c r="Z31" s="19"/>
      <c r="AA31" s="19"/>
      <c r="AB31" s="19"/>
      <c r="AC31" s="19"/>
      <c r="AD31" s="35"/>
      <c r="AE31" s="9"/>
      <c r="AG31" t="s">
        <v>60</v>
      </c>
      <c r="AH31" s="29"/>
      <c r="AI31" s="33"/>
      <c r="AL31" s="45" t="s">
        <v>168</v>
      </c>
      <c r="AM31" s="45"/>
      <c r="AN31" s="45"/>
      <c r="AO31" s="45"/>
      <c r="AP31" s="45"/>
      <c r="AQ31" s="45"/>
      <c r="AR31" s="45"/>
      <c r="AS31" s="45"/>
      <c r="AW31" t="s">
        <v>104</v>
      </c>
      <c r="AX31" s="29"/>
      <c r="AY31" s="29"/>
    </row>
    <row r="32" spans="1:51" s="10" customFormat="1" ht="30" customHeight="1" x14ac:dyDescent="0.2">
      <c r="A32" s="5"/>
      <c r="B32" s="70" t="s">
        <v>54</v>
      </c>
      <c r="C32" s="70"/>
      <c r="D32" s="70"/>
      <c r="E32" s="70"/>
      <c r="F32" s="71"/>
      <c r="G32" s="60" t="str">
        <f>IF($G$11="","Scegliere tipologia di contratto",Y22*Q26/100)</f>
        <v>Scegliere tipologia di contratto</v>
      </c>
      <c r="H32" s="61"/>
      <c r="I32" s="61"/>
      <c r="J32" s="61"/>
      <c r="K32" s="61"/>
      <c r="L32" s="62"/>
      <c r="M32" s="47"/>
      <c r="N32" s="94" t="s">
        <v>184</v>
      </c>
      <c r="O32" s="94"/>
      <c r="P32" s="94"/>
      <c r="Q32" s="72" t="str">
        <f>IF(G11="","Scegliere tipologia contratto",(G30+Q30+G34))</f>
        <v>Scegliere tipologia contratto</v>
      </c>
      <c r="R32" s="73"/>
      <c r="S32" s="73"/>
      <c r="T32" s="73"/>
      <c r="U32" s="73"/>
      <c r="V32" s="74"/>
      <c r="X32" s="2"/>
      <c r="Y32" s="19"/>
      <c r="Z32" s="19"/>
      <c r="AA32" s="19"/>
      <c r="AB32" s="19"/>
      <c r="AC32" s="19"/>
      <c r="AD32" s="35"/>
      <c r="AE32" s="9"/>
      <c r="AG32" t="s">
        <v>61</v>
      </c>
      <c r="AH32" s="29"/>
      <c r="AI32" s="32"/>
      <c r="AL32" s="45" t="s">
        <v>169</v>
      </c>
      <c r="AM32" s="45"/>
      <c r="AN32" s="45"/>
      <c r="AO32" s="45"/>
      <c r="AP32" s="45"/>
      <c r="AQ32" s="45"/>
      <c r="AR32" s="45"/>
      <c r="AS32" s="45"/>
      <c r="AW32" t="s">
        <v>105</v>
      </c>
      <c r="AX32" s="29"/>
      <c r="AY32" s="29"/>
    </row>
    <row r="33" spans="1:51" s="10" customFormat="1" ht="24" customHeight="1" x14ac:dyDescent="0.2">
      <c r="A33" s="5"/>
      <c r="X33" s="2"/>
      <c r="Y33" s="19"/>
      <c r="Z33" s="19"/>
      <c r="AA33" s="19"/>
      <c r="AB33" s="19"/>
      <c r="AC33" s="19"/>
      <c r="AD33" s="35"/>
      <c r="AE33" s="9"/>
      <c r="AG33" t="s">
        <v>62</v>
      </c>
      <c r="AH33" s="29"/>
      <c r="AI33" s="33"/>
      <c r="AL33" s="45" t="s">
        <v>170</v>
      </c>
      <c r="AM33" s="45"/>
      <c r="AN33" s="45"/>
      <c r="AO33" s="45"/>
      <c r="AP33" s="45"/>
      <c r="AQ33" s="45"/>
      <c r="AR33" s="45"/>
      <c r="AS33" s="45"/>
      <c r="AW33" t="s">
        <v>106</v>
      </c>
      <c r="AX33" s="29"/>
      <c r="AY33" s="29"/>
    </row>
    <row r="34" spans="1:51" s="10" customFormat="1" ht="30" customHeight="1" x14ac:dyDescent="0.2">
      <c r="A34" s="5"/>
      <c r="B34" s="58" t="s">
        <v>3</v>
      </c>
      <c r="C34" s="58"/>
      <c r="D34" s="58"/>
      <c r="E34" s="58"/>
      <c r="F34" s="93"/>
      <c r="G34" s="72" t="str">
        <f>IF(G11="","Scegliere tipologia contratto",1694*Q26/100)</f>
        <v>Scegliere tipologia contratto</v>
      </c>
      <c r="H34" s="73"/>
      <c r="I34" s="73"/>
      <c r="J34" s="73"/>
      <c r="K34" s="73"/>
      <c r="L34" s="74"/>
      <c r="M34" s="41"/>
      <c r="N34" s="94" t="s">
        <v>183</v>
      </c>
      <c r="O34" s="94"/>
      <c r="P34" s="95"/>
      <c r="Q34" s="72" t="str">
        <f>IF(G11="","Scegliere tipologia contratto",(G30+Q30+G32+G34))</f>
        <v>Scegliere tipologia contratto</v>
      </c>
      <c r="R34" s="73"/>
      <c r="S34" s="73"/>
      <c r="T34" s="73"/>
      <c r="U34" s="73"/>
      <c r="V34" s="74"/>
      <c r="W34" s="5"/>
      <c r="X34" s="2"/>
      <c r="Y34" s="19"/>
      <c r="Z34" s="19"/>
      <c r="AA34" s="19"/>
      <c r="AB34" s="19"/>
      <c r="AC34" s="19"/>
      <c r="AD34" s="35"/>
      <c r="AE34" s="9"/>
      <c r="AG34" t="s">
        <v>63</v>
      </c>
      <c r="AH34" s="29"/>
      <c r="AI34" s="32"/>
      <c r="AL34" s="45" t="s">
        <v>171</v>
      </c>
      <c r="AM34" s="45"/>
      <c r="AN34" s="45"/>
      <c r="AO34" s="45"/>
      <c r="AP34" s="45"/>
      <c r="AQ34" s="45"/>
      <c r="AR34" s="45"/>
      <c r="AS34" s="45"/>
      <c r="AW34" t="s">
        <v>107</v>
      </c>
      <c r="AX34" s="29"/>
      <c r="AY34" s="29"/>
    </row>
    <row r="35" spans="1:51" s="10" customFormat="1" ht="24" customHeight="1" x14ac:dyDescent="0.2">
      <c r="A35" s="5"/>
      <c r="B35" s="46"/>
      <c r="C35" s="46"/>
      <c r="D35" s="46"/>
      <c r="E35" s="46"/>
      <c r="F35" s="46"/>
      <c r="G35" s="48"/>
      <c r="H35" s="48"/>
      <c r="I35" s="48"/>
      <c r="J35" s="48"/>
      <c r="K35" s="48"/>
      <c r="L35" s="48"/>
      <c r="M35" s="41"/>
      <c r="N35" s="52"/>
      <c r="O35" s="52"/>
      <c r="P35" s="52"/>
      <c r="Q35" s="48"/>
      <c r="R35" s="48"/>
      <c r="S35" s="48"/>
      <c r="T35" s="48"/>
      <c r="U35" s="48"/>
      <c r="V35" s="48"/>
      <c r="W35" s="5"/>
      <c r="X35" s="2"/>
      <c r="Y35" s="19"/>
      <c r="Z35" s="19"/>
      <c r="AA35" s="19"/>
      <c r="AB35" s="19"/>
      <c r="AC35" s="19"/>
      <c r="AD35" s="35"/>
      <c r="AE35" s="9"/>
      <c r="AG35" t="s">
        <v>49</v>
      </c>
      <c r="AH35" s="29"/>
      <c r="AI35" s="33"/>
      <c r="AL35" s="45" t="s">
        <v>172</v>
      </c>
      <c r="AM35" s="45"/>
      <c r="AN35" s="45"/>
      <c r="AO35" s="45"/>
      <c r="AP35" s="45"/>
      <c r="AQ35" s="45"/>
      <c r="AR35" s="45"/>
      <c r="AS35" s="45"/>
      <c r="AW35" t="s">
        <v>108</v>
      </c>
      <c r="AX35" s="29"/>
      <c r="AY35" s="29"/>
    </row>
    <row r="36" spans="1:51" s="10" customFormat="1" ht="30" customHeight="1" x14ac:dyDescent="0.2">
      <c r="A36" s="5"/>
      <c r="B36" s="46"/>
      <c r="C36" s="46"/>
      <c r="D36" s="46"/>
      <c r="E36" s="46"/>
      <c r="F36" s="46"/>
      <c r="G36" s="48"/>
      <c r="H36" s="48"/>
      <c r="I36" s="48"/>
      <c r="J36" s="48"/>
      <c r="K36" s="48"/>
      <c r="L36" s="48"/>
      <c r="M36" s="41"/>
      <c r="N36" s="94"/>
      <c r="O36" s="94"/>
      <c r="P36" s="94"/>
      <c r="W36" s="5"/>
      <c r="X36" s="2"/>
      <c r="Y36" s="19"/>
      <c r="Z36" s="19"/>
      <c r="AA36" s="19"/>
      <c r="AB36" s="19"/>
      <c r="AC36" s="19"/>
      <c r="AD36" s="35"/>
      <c r="AE36" s="9"/>
      <c r="AG36" t="s">
        <v>64</v>
      </c>
      <c r="AH36" s="29"/>
      <c r="AI36" s="5"/>
      <c r="AK36" s="5"/>
      <c r="AL36" s="45" t="s">
        <v>173</v>
      </c>
      <c r="AM36" s="45"/>
      <c r="AN36" s="45"/>
      <c r="AO36" s="45"/>
      <c r="AP36" s="45"/>
      <c r="AQ36" s="45"/>
      <c r="AR36" s="45"/>
      <c r="AS36" s="45"/>
      <c r="AW36" t="s">
        <v>109</v>
      </c>
      <c r="AX36" s="29"/>
      <c r="AY36" s="29"/>
    </row>
    <row r="37" spans="1:51" s="10" customFormat="1" ht="24" customHeight="1" x14ac:dyDescent="0.2">
      <c r="A37" s="5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5"/>
      <c r="X37" s="2"/>
      <c r="Y37" s="19"/>
      <c r="Z37" s="19"/>
      <c r="AA37" s="19"/>
      <c r="AB37" s="19"/>
      <c r="AC37" s="19"/>
      <c r="AD37" s="35"/>
      <c r="AE37" s="9"/>
      <c r="AG37" t="s">
        <v>65</v>
      </c>
      <c r="AH37" s="29"/>
      <c r="AI37" s="5"/>
      <c r="AJ37" s="5"/>
      <c r="AK37" s="5"/>
      <c r="AL37" s="45" t="s">
        <v>174</v>
      </c>
      <c r="AM37" s="45"/>
      <c r="AN37" s="45"/>
      <c r="AO37" s="45"/>
      <c r="AP37" s="45"/>
      <c r="AQ37" s="45"/>
      <c r="AR37" s="45"/>
      <c r="AS37" s="45"/>
      <c r="AW37" t="s">
        <v>110</v>
      </c>
      <c r="AX37" s="29"/>
      <c r="AY37" s="29"/>
    </row>
    <row r="38" spans="1:51" s="10" customFormat="1" ht="24" customHeight="1" x14ac:dyDescent="0.2">
      <c r="A38" s="5"/>
      <c r="B38" s="58" t="s">
        <v>81</v>
      </c>
      <c r="C38" s="58"/>
      <c r="D38" s="58"/>
      <c r="E38" s="58"/>
      <c r="F38" s="58"/>
      <c r="G38" s="116"/>
      <c r="H38" s="116"/>
      <c r="I38" s="116"/>
      <c r="J38" s="116"/>
      <c r="K38" s="116"/>
      <c r="L38" s="116"/>
      <c r="M38" s="82" t="s">
        <v>82</v>
      </c>
      <c r="N38" s="118"/>
      <c r="O38" s="118"/>
      <c r="P38" s="118"/>
      <c r="Q38" s="80"/>
      <c r="R38" s="80"/>
      <c r="S38" s="80"/>
      <c r="T38" s="80"/>
      <c r="U38" s="80"/>
      <c r="V38" s="80"/>
      <c r="W38" s="5"/>
      <c r="X38" s="2"/>
      <c r="Y38" s="19"/>
      <c r="Z38" s="19"/>
      <c r="AA38" s="19"/>
      <c r="AB38" s="19"/>
      <c r="AC38" s="19"/>
      <c r="AD38" s="35"/>
      <c r="AE38" s="9"/>
      <c r="AG38" t="s">
        <v>66</v>
      </c>
      <c r="AH38" s="29"/>
      <c r="AJ38" s="5"/>
      <c r="AK38" s="5"/>
      <c r="AL38" t="s">
        <v>86</v>
      </c>
      <c r="AM38" s="45"/>
      <c r="AN38" s="45"/>
      <c r="AO38" s="45"/>
      <c r="AP38" s="45"/>
      <c r="AQ38" s="45"/>
      <c r="AR38" s="45"/>
      <c r="AS38" s="45"/>
      <c r="AW38" t="s">
        <v>111</v>
      </c>
      <c r="AX38" s="29"/>
      <c r="AY38" s="29"/>
    </row>
    <row r="39" spans="1:51" s="10" customFormat="1" ht="24" customHeight="1" x14ac:dyDescent="0.2">
      <c r="A39" s="5"/>
      <c r="W39" s="5"/>
      <c r="X39" s="2"/>
      <c r="Y39" s="19"/>
      <c r="Z39" s="19"/>
      <c r="AA39" s="19"/>
      <c r="AB39" s="19"/>
      <c r="AC39" s="19"/>
      <c r="AD39" s="35"/>
      <c r="AE39" s="9"/>
      <c r="AG39" t="s">
        <v>67</v>
      </c>
      <c r="AH39" s="29"/>
      <c r="AJ39" s="5"/>
      <c r="AK39" s="5"/>
      <c r="AL39" s="45"/>
      <c r="AM39" s="45"/>
      <c r="AN39" s="45"/>
      <c r="AO39" s="45"/>
      <c r="AP39" s="45"/>
      <c r="AQ39" s="45"/>
      <c r="AR39" s="45"/>
      <c r="AS39" s="45"/>
      <c r="AW39" t="s">
        <v>112</v>
      </c>
      <c r="AX39" s="29"/>
      <c r="AY39" s="29"/>
    </row>
    <row r="40" spans="1:51" s="10" customFormat="1" ht="24" customHeight="1" x14ac:dyDescent="0.2">
      <c r="A40" s="5"/>
      <c r="B40" s="58" t="s">
        <v>21</v>
      </c>
      <c r="C40" s="58"/>
      <c r="D40" s="58"/>
      <c r="E40" s="58"/>
      <c r="F40" s="117"/>
      <c r="G40" s="109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1"/>
      <c r="W40" s="5"/>
      <c r="X40" s="2"/>
      <c r="Y40" s="19"/>
      <c r="Z40" s="19"/>
      <c r="AA40" s="19"/>
      <c r="AB40" s="19"/>
      <c r="AC40" s="19"/>
      <c r="AD40" s="35"/>
      <c r="AE40" s="9"/>
      <c r="AG40" t="s">
        <v>68</v>
      </c>
      <c r="AH40" s="29"/>
      <c r="AJ40" s="5"/>
      <c r="AK40" s="5"/>
      <c r="AL40" s="45"/>
      <c r="AM40" s="45"/>
      <c r="AN40" s="45"/>
      <c r="AO40" s="45"/>
      <c r="AP40" s="45"/>
      <c r="AQ40" s="45"/>
      <c r="AR40" s="45"/>
      <c r="AS40" s="45"/>
      <c r="AW40" t="s">
        <v>113</v>
      </c>
      <c r="AX40" s="29"/>
      <c r="AY40" s="29"/>
    </row>
    <row r="41" spans="1:51" s="10" customFormat="1" ht="15" x14ac:dyDescent="0.2">
      <c r="A41" s="5"/>
      <c r="B41" s="58"/>
      <c r="C41" s="58"/>
      <c r="D41" s="58"/>
      <c r="E41" s="58"/>
      <c r="F41" s="117"/>
      <c r="G41" s="112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13"/>
      <c r="W41" s="5"/>
      <c r="X41" s="2"/>
      <c r="Y41" s="19"/>
      <c r="Z41" s="19"/>
      <c r="AA41" s="19"/>
      <c r="AB41" s="19"/>
      <c r="AC41" s="19"/>
      <c r="AD41" s="35"/>
      <c r="AE41" s="9"/>
      <c r="AG41" t="s">
        <v>69</v>
      </c>
      <c r="AH41" s="29"/>
      <c r="AJ41" s="5"/>
      <c r="AK41" s="5"/>
      <c r="AN41" s="45"/>
      <c r="AO41" s="45"/>
      <c r="AP41" s="45"/>
      <c r="AQ41" s="45"/>
      <c r="AR41" s="45"/>
      <c r="AS41" s="45"/>
      <c r="AW41" t="s">
        <v>114</v>
      </c>
      <c r="AX41" s="29"/>
      <c r="AY41" s="29"/>
    </row>
    <row r="42" spans="1:51" s="10" customFormat="1" ht="24" customHeight="1" x14ac:dyDescent="0.2">
      <c r="A42" s="5"/>
      <c r="B42" s="58"/>
      <c r="C42" s="58"/>
      <c r="D42" s="58"/>
      <c r="E42" s="58"/>
      <c r="F42" s="117"/>
      <c r="G42" s="112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13"/>
      <c r="X42" s="2"/>
      <c r="Y42" s="19"/>
      <c r="Z42" s="19"/>
      <c r="AA42" s="19"/>
      <c r="AB42" s="19"/>
      <c r="AC42" s="19"/>
      <c r="AD42" s="35"/>
      <c r="AE42" s="9"/>
      <c r="AG42" t="s">
        <v>70</v>
      </c>
      <c r="AH42" s="29"/>
      <c r="AJ42" s="5"/>
      <c r="AK42" s="5"/>
      <c r="AM42" s="43" t="s">
        <v>52</v>
      </c>
      <c r="AO42" s="45"/>
      <c r="AP42" s="5"/>
      <c r="AW42" t="s">
        <v>115</v>
      </c>
      <c r="AX42" s="29"/>
      <c r="AY42" s="29"/>
    </row>
    <row r="43" spans="1:51" s="10" customFormat="1" ht="24" customHeight="1" x14ac:dyDescent="0.2">
      <c r="A43" s="5"/>
      <c r="B43" s="58"/>
      <c r="C43" s="58"/>
      <c r="D43" s="58"/>
      <c r="E43" s="58"/>
      <c r="F43" s="117"/>
      <c r="G43" s="114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115"/>
      <c r="W43" s="5"/>
      <c r="X43" s="2"/>
      <c r="Y43" s="19"/>
      <c r="Z43" s="19"/>
      <c r="AA43" s="19"/>
      <c r="AB43" s="19"/>
      <c r="AC43" s="19"/>
      <c r="AD43" s="35"/>
      <c r="AE43" s="9"/>
      <c r="AG43" t="s">
        <v>71</v>
      </c>
      <c r="AH43" s="29"/>
      <c r="AJ43" s="5"/>
      <c r="AK43" s="5"/>
      <c r="AM43" s="5" t="s">
        <v>11</v>
      </c>
      <c r="AN43" s="5"/>
      <c r="AO43" s="5"/>
      <c r="AP43" s="5"/>
      <c r="AW43" t="s">
        <v>116</v>
      </c>
      <c r="AX43" s="29"/>
      <c r="AY43" s="29"/>
    </row>
    <row r="44" spans="1:51" s="10" customFormat="1" ht="24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M44" s="5"/>
      <c r="W44" s="5"/>
      <c r="X44" s="2"/>
      <c r="Y44" s="19"/>
      <c r="Z44" s="19"/>
      <c r="AA44" s="19"/>
      <c r="AB44" s="19"/>
      <c r="AC44" s="19"/>
      <c r="AD44" s="35"/>
      <c r="AE44" s="9"/>
      <c r="AG44" t="s">
        <v>72</v>
      </c>
      <c r="AH44" s="29"/>
      <c r="AJ44" s="5"/>
      <c r="AK44" s="5"/>
      <c r="AM44" s="5" t="s">
        <v>16</v>
      </c>
      <c r="AN44" s="5"/>
      <c r="AO44" s="5"/>
      <c r="AP44" s="5"/>
      <c r="AW44" t="s">
        <v>117</v>
      </c>
      <c r="AX44" s="29"/>
      <c r="AY44" s="29"/>
    </row>
    <row r="45" spans="1:51" s="10" customFormat="1" ht="33" customHeight="1" x14ac:dyDescent="0.2">
      <c r="A45" s="5"/>
      <c r="B45" s="5"/>
      <c r="C45" s="5"/>
      <c r="D45" s="5"/>
      <c r="E45" s="5"/>
      <c r="F45" s="5"/>
      <c r="G45" s="5"/>
      <c r="H45" s="121" t="s">
        <v>189</v>
      </c>
      <c r="I45" s="121"/>
      <c r="J45" s="121"/>
      <c r="K45" s="121"/>
      <c r="L45" s="119" t="s">
        <v>188</v>
      </c>
      <c r="M45" s="120"/>
      <c r="N45" s="120"/>
      <c r="O45" s="120"/>
      <c r="P45" s="122"/>
      <c r="Q45" s="122"/>
      <c r="R45" s="122"/>
      <c r="S45" s="122"/>
      <c r="T45" s="122"/>
      <c r="U45" s="122"/>
      <c r="V45" s="122"/>
      <c r="W45" s="5"/>
      <c r="X45" s="2"/>
      <c r="Y45" s="19"/>
      <c r="Z45" s="19"/>
      <c r="AA45" s="19"/>
      <c r="AB45" s="19"/>
      <c r="AC45" s="19"/>
      <c r="AD45" s="35"/>
      <c r="AE45" s="9"/>
      <c r="AG45" t="s">
        <v>73</v>
      </c>
      <c r="AH45" s="5"/>
      <c r="AJ45" s="5"/>
      <c r="AK45" s="5"/>
      <c r="AM45" s="5" t="s">
        <v>29</v>
      </c>
      <c r="AN45" s="5"/>
      <c r="AO45" s="5"/>
      <c r="AP45" s="5"/>
      <c r="AW45" t="s">
        <v>118</v>
      </c>
      <c r="AX45" s="29"/>
      <c r="AY45" s="29"/>
    </row>
    <row r="46" spans="1:51" s="10" customFormat="1" ht="24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M46" s="5"/>
      <c r="W46" s="5"/>
      <c r="X46" s="2"/>
      <c r="Y46" s="35"/>
      <c r="Z46" s="35"/>
      <c r="AA46" s="36"/>
      <c r="AB46" s="37"/>
      <c r="AC46" s="35"/>
      <c r="AD46" s="35"/>
      <c r="AE46" s="9"/>
      <c r="AG46" t="s">
        <v>74</v>
      </c>
      <c r="AH46" s="5"/>
      <c r="AJ46" s="5"/>
      <c r="AK46" s="5"/>
      <c r="AM46" s="5"/>
      <c r="AN46" s="5"/>
      <c r="AO46" s="5"/>
      <c r="AP46" s="5"/>
      <c r="AW46" t="s">
        <v>119</v>
      </c>
      <c r="AX46" s="29"/>
      <c r="AY46" s="29"/>
    </row>
    <row r="47" spans="1:51" s="10" customFormat="1" ht="24" customHeight="1" x14ac:dyDescent="0.2">
      <c r="A47" s="5"/>
      <c r="B47" s="57" t="s">
        <v>185</v>
      </c>
      <c r="C47" s="5"/>
      <c r="D47" s="5"/>
      <c r="E47" s="5"/>
      <c r="F47" s="5"/>
      <c r="G47" s="5"/>
      <c r="H47" s="5"/>
      <c r="I47" s="5"/>
      <c r="J47" s="5"/>
      <c r="K47" s="5"/>
      <c r="L47" s="108" t="s">
        <v>182</v>
      </c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5"/>
      <c r="X47" s="2"/>
      <c r="Y47" s="9"/>
      <c r="Z47" s="9"/>
      <c r="AA47" s="9"/>
      <c r="AB47" s="21"/>
      <c r="AC47" s="9"/>
      <c r="AD47" s="9"/>
      <c r="AE47" s="9"/>
      <c r="AG47" t="s">
        <v>75</v>
      </c>
      <c r="AH47" s="5"/>
      <c r="AJ47" s="5"/>
      <c r="AK47" s="5"/>
      <c r="AM47" s="43" t="s">
        <v>51</v>
      </c>
      <c r="AN47" s="5"/>
      <c r="AO47" s="5"/>
      <c r="AP47" s="5"/>
      <c r="AW47" t="s">
        <v>120</v>
      </c>
      <c r="AX47" s="29"/>
      <c r="AY47" s="29"/>
    </row>
    <row r="48" spans="1:51" s="10" customFormat="1" ht="24" customHeight="1" x14ac:dyDescent="0.2">
      <c r="A48" s="5"/>
      <c r="B48" s="122"/>
      <c r="C48" s="122"/>
      <c r="D48" s="122"/>
      <c r="E48" s="122"/>
      <c r="F48" s="122"/>
      <c r="G48" s="122"/>
      <c r="H48" s="122"/>
      <c r="I48" s="5"/>
      <c r="J48" s="5"/>
      <c r="K48" s="5"/>
      <c r="L48" s="99"/>
      <c r="M48" s="100"/>
      <c r="N48" s="100"/>
      <c r="O48" s="100"/>
      <c r="P48" s="100"/>
      <c r="Q48" s="100"/>
      <c r="R48" s="100"/>
      <c r="S48" s="100"/>
      <c r="T48" s="100"/>
      <c r="U48" s="100"/>
      <c r="V48" s="101"/>
      <c r="W48" s="5"/>
      <c r="X48" s="2"/>
      <c r="Y48" s="9"/>
      <c r="Z48" s="9"/>
      <c r="AA48" s="20"/>
      <c r="AB48" s="9"/>
      <c r="AC48" s="9"/>
      <c r="AD48" s="9"/>
      <c r="AE48" s="9"/>
      <c r="AG48" t="s">
        <v>76</v>
      </c>
      <c r="AI48" s="5"/>
      <c r="AJ48" s="5"/>
      <c r="AK48" s="5"/>
      <c r="AL48" s="5"/>
      <c r="AM48" s="5"/>
      <c r="AN48" s="23"/>
      <c r="AO48" s="5"/>
      <c r="AP48" s="5"/>
      <c r="AW48" t="s">
        <v>121</v>
      </c>
      <c r="AX48" s="29"/>
      <c r="AY48" s="29"/>
    </row>
    <row r="49" spans="1:51" s="10" customFormat="1" ht="24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102"/>
      <c r="M49" s="103"/>
      <c r="N49" s="103"/>
      <c r="O49" s="103"/>
      <c r="P49" s="103"/>
      <c r="Q49" s="103"/>
      <c r="R49" s="103"/>
      <c r="S49" s="103"/>
      <c r="T49" s="103"/>
      <c r="U49" s="103"/>
      <c r="V49" s="104"/>
      <c r="W49" s="5"/>
      <c r="X49" s="2"/>
      <c r="Y49" s="9"/>
      <c r="Z49" s="9"/>
      <c r="AA49" s="20"/>
      <c r="AB49" s="9"/>
      <c r="AC49" s="9"/>
      <c r="AD49" s="9"/>
      <c r="AE49" s="9"/>
      <c r="AG49" t="s">
        <v>85</v>
      </c>
      <c r="AI49" s="23"/>
      <c r="AJ49" s="22"/>
      <c r="AK49" s="22"/>
      <c r="AM49" s="5" t="s">
        <v>38</v>
      </c>
      <c r="AN49" s="23"/>
      <c r="AO49" s="5"/>
      <c r="AW49" t="s">
        <v>122</v>
      </c>
      <c r="AX49" s="29"/>
      <c r="AY49" s="29"/>
    </row>
    <row r="50" spans="1:51" s="10" customFormat="1" ht="24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102"/>
      <c r="M50" s="103"/>
      <c r="N50" s="103"/>
      <c r="O50" s="103"/>
      <c r="P50" s="103"/>
      <c r="Q50" s="103"/>
      <c r="R50" s="103"/>
      <c r="S50" s="103"/>
      <c r="T50" s="103"/>
      <c r="U50" s="103"/>
      <c r="V50" s="104"/>
      <c r="W50" s="5"/>
      <c r="X50" s="2"/>
      <c r="Y50" s="9"/>
      <c r="Z50" s="9"/>
      <c r="AA50" s="20"/>
      <c r="AB50" s="9"/>
      <c r="AC50" s="9"/>
      <c r="AD50" s="9"/>
      <c r="AE50" s="9"/>
      <c r="AG50" t="s">
        <v>77</v>
      </c>
      <c r="AI50" s="23"/>
      <c r="AJ50" s="22"/>
      <c r="AK50" s="22"/>
      <c r="AM50" s="5" t="s">
        <v>39</v>
      </c>
      <c r="AN50" s="23"/>
      <c r="AW50" t="s">
        <v>123</v>
      </c>
      <c r="AX50" s="29"/>
      <c r="AY50" s="29"/>
    </row>
    <row r="51" spans="1:51" s="10" customFormat="1" ht="24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105"/>
      <c r="M51" s="106"/>
      <c r="N51" s="106"/>
      <c r="O51" s="106"/>
      <c r="P51" s="106"/>
      <c r="Q51" s="106"/>
      <c r="R51" s="106"/>
      <c r="S51" s="106"/>
      <c r="T51" s="106"/>
      <c r="U51" s="106"/>
      <c r="V51" s="107"/>
      <c r="W51" s="5"/>
      <c r="X51" s="2"/>
      <c r="Y51" s="9"/>
      <c r="Z51" s="9"/>
      <c r="AA51" s="20"/>
      <c r="AB51" s="9"/>
      <c r="AC51" s="9"/>
      <c r="AD51" s="9"/>
      <c r="AE51" s="9"/>
      <c r="AG51" t="s">
        <v>78</v>
      </c>
      <c r="AI51" s="23"/>
      <c r="AJ51" s="22"/>
      <c r="AK51" s="22"/>
      <c r="AM51" s="5" t="s">
        <v>40</v>
      </c>
      <c r="AN51" s="23"/>
      <c r="AW51" t="s">
        <v>124</v>
      </c>
      <c r="AX51" s="29"/>
      <c r="AY51" s="29"/>
    </row>
    <row r="52" spans="1:51" s="10" customFormat="1" ht="24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2"/>
      <c r="Y52" s="9"/>
      <c r="Z52" s="9"/>
      <c r="AA52" s="9"/>
      <c r="AB52" s="9"/>
      <c r="AC52" s="9"/>
      <c r="AD52" s="9"/>
      <c r="AE52" s="9"/>
      <c r="AG52" t="s">
        <v>79</v>
      </c>
      <c r="AI52" s="23"/>
      <c r="AJ52" s="22"/>
      <c r="AK52" s="22"/>
      <c r="AM52" s="5" t="s">
        <v>41</v>
      </c>
      <c r="AN52" s="8"/>
      <c r="AW52" t="s">
        <v>125</v>
      </c>
      <c r="AX52" s="29"/>
      <c r="AY52" s="29"/>
    </row>
    <row r="53" spans="1:51" ht="24" hidden="1" customHeight="1" x14ac:dyDescent="0.2">
      <c r="AG53" t="s">
        <v>99</v>
      </c>
      <c r="AI53" s="8"/>
      <c r="AJ53" s="7"/>
      <c r="AK53" s="6"/>
      <c r="AM53" s="5" t="s">
        <v>34</v>
      </c>
      <c r="AN53" s="8"/>
      <c r="AO53" s="10"/>
      <c r="AW53" t="s">
        <v>126</v>
      </c>
    </row>
    <row r="54" spans="1:51" ht="24" hidden="1" customHeight="1" x14ac:dyDescent="0.2">
      <c r="AG54" t="s">
        <v>100</v>
      </c>
      <c r="AI54" s="8"/>
      <c r="AJ54" s="7"/>
      <c r="AK54" s="6"/>
      <c r="AW54" t="s">
        <v>127</v>
      </c>
    </row>
    <row r="55" spans="1:51" ht="24" hidden="1" customHeight="1" x14ac:dyDescent="0.2">
      <c r="AG55" t="s">
        <v>80</v>
      </c>
      <c r="AH55" s="8"/>
      <c r="AI55" s="8"/>
      <c r="AJ55" s="7"/>
      <c r="AK55" s="6"/>
      <c r="AW55" t="s">
        <v>166</v>
      </c>
    </row>
    <row r="56" spans="1:51" ht="24" hidden="1" customHeight="1" x14ac:dyDescent="0.2">
      <c r="AG56" s="10" t="s">
        <v>87</v>
      </c>
      <c r="AH56" s="8"/>
      <c r="AI56" s="8"/>
      <c r="AJ56" s="7"/>
      <c r="AK56" s="6"/>
      <c r="AW56" t="s">
        <v>128</v>
      </c>
    </row>
    <row r="57" spans="1:51" ht="24" hidden="1" customHeight="1" x14ac:dyDescent="0.2">
      <c r="AG57" s="5" t="s">
        <v>88</v>
      </c>
      <c r="AH57" s="8"/>
      <c r="AI57" s="8"/>
      <c r="AJ57" s="7"/>
      <c r="AK57" s="6"/>
      <c r="AW57" t="s">
        <v>129</v>
      </c>
    </row>
    <row r="58" spans="1:51" ht="24" hidden="1" customHeight="1" x14ac:dyDescent="0.2">
      <c r="AG58" s="5" t="s">
        <v>89</v>
      </c>
      <c r="AW58" t="s">
        <v>130</v>
      </c>
    </row>
    <row r="59" spans="1:51" ht="24" hidden="1" customHeight="1" x14ac:dyDescent="0.2">
      <c r="AG59" s="7" t="s">
        <v>90</v>
      </c>
      <c r="AW59" t="s">
        <v>131</v>
      </c>
    </row>
    <row r="60" spans="1:51" ht="24" hidden="1" customHeight="1" x14ac:dyDescent="0.2">
      <c r="AG60" s="7"/>
      <c r="AW60" t="s">
        <v>132</v>
      </c>
    </row>
    <row r="61" spans="1:51" ht="24" hidden="1" customHeight="1" x14ac:dyDescent="0.2">
      <c r="AG61" s="7"/>
      <c r="AW61" t="s">
        <v>133</v>
      </c>
    </row>
    <row r="62" spans="1:51" ht="24" hidden="1" customHeight="1" x14ac:dyDescent="0.2">
      <c r="AW62" t="s">
        <v>134</v>
      </c>
    </row>
    <row r="63" spans="1:51" ht="24" hidden="1" customHeight="1" x14ac:dyDescent="0.2">
      <c r="AW63" t="s">
        <v>135</v>
      </c>
    </row>
    <row r="64" spans="1:51" ht="24" hidden="1" customHeight="1" x14ac:dyDescent="0.2">
      <c r="AW64" t="s">
        <v>136</v>
      </c>
    </row>
    <row r="65" spans="49:49" ht="24" hidden="1" customHeight="1" x14ac:dyDescent="0.2">
      <c r="AW65" t="s">
        <v>137</v>
      </c>
    </row>
    <row r="66" spans="49:49" ht="24" hidden="1" customHeight="1" x14ac:dyDescent="0.2">
      <c r="AW66" t="s">
        <v>138</v>
      </c>
    </row>
    <row r="67" spans="49:49" ht="24" hidden="1" customHeight="1" x14ac:dyDescent="0.2">
      <c r="AW67" t="s">
        <v>139</v>
      </c>
    </row>
    <row r="68" spans="49:49" ht="24" hidden="1" customHeight="1" x14ac:dyDescent="0.2">
      <c r="AW68" t="s">
        <v>140</v>
      </c>
    </row>
    <row r="69" spans="49:49" ht="24" hidden="1" customHeight="1" x14ac:dyDescent="0.2">
      <c r="AW69" t="s">
        <v>141</v>
      </c>
    </row>
    <row r="70" spans="49:49" ht="24" hidden="1" customHeight="1" x14ac:dyDescent="0.2">
      <c r="AW70" t="s">
        <v>142</v>
      </c>
    </row>
    <row r="71" spans="49:49" ht="24" hidden="1" customHeight="1" x14ac:dyDescent="0.2">
      <c r="AW71" t="s">
        <v>143</v>
      </c>
    </row>
    <row r="72" spans="49:49" ht="24" hidden="1" customHeight="1" x14ac:dyDescent="0.2">
      <c r="AW72" t="s">
        <v>144</v>
      </c>
    </row>
    <row r="73" spans="49:49" ht="24" hidden="1" customHeight="1" x14ac:dyDescent="0.2">
      <c r="AW73" t="s">
        <v>145</v>
      </c>
    </row>
    <row r="74" spans="49:49" ht="24" hidden="1" customHeight="1" x14ac:dyDescent="0.2">
      <c r="AW74" t="s">
        <v>146</v>
      </c>
    </row>
    <row r="75" spans="49:49" ht="24" hidden="1" customHeight="1" x14ac:dyDescent="0.2">
      <c r="AW75" t="s">
        <v>147</v>
      </c>
    </row>
    <row r="76" spans="49:49" ht="24" hidden="1" customHeight="1" x14ac:dyDescent="0.2">
      <c r="AW76" t="s">
        <v>148</v>
      </c>
    </row>
    <row r="77" spans="49:49" ht="24" hidden="1" customHeight="1" x14ac:dyDescent="0.2">
      <c r="AW77" t="s">
        <v>149</v>
      </c>
    </row>
    <row r="78" spans="49:49" ht="24" hidden="1" customHeight="1" x14ac:dyDescent="0.2">
      <c r="AW78" t="s">
        <v>150</v>
      </c>
    </row>
    <row r="79" spans="49:49" ht="24" hidden="1" customHeight="1" x14ac:dyDescent="0.2">
      <c r="AW79" t="s">
        <v>151</v>
      </c>
    </row>
    <row r="80" spans="49:49" ht="24" hidden="1" customHeight="1" x14ac:dyDescent="0.2">
      <c r="AW80" t="s">
        <v>152</v>
      </c>
    </row>
    <row r="81" spans="49:49" ht="24" hidden="1" customHeight="1" x14ac:dyDescent="0.2">
      <c r="AW81" t="s">
        <v>153</v>
      </c>
    </row>
    <row r="82" spans="49:49" ht="24" hidden="1" customHeight="1" x14ac:dyDescent="0.2">
      <c r="AW82" t="s">
        <v>154</v>
      </c>
    </row>
    <row r="83" spans="49:49" ht="24" hidden="1" customHeight="1" x14ac:dyDescent="0.2">
      <c r="AW83" t="s">
        <v>155</v>
      </c>
    </row>
    <row r="84" spans="49:49" ht="24" hidden="1" customHeight="1" x14ac:dyDescent="0.2">
      <c r="AW84" t="s">
        <v>156</v>
      </c>
    </row>
    <row r="85" spans="49:49" ht="24" hidden="1" customHeight="1" x14ac:dyDescent="0.2">
      <c r="AW85" t="s">
        <v>176</v>
      </c>
    </row>
    <row r="86" spans="49:49" ht="24" hidden="1" customHeight="1" x14ac:dyDescent="0.2">
      <c r="AW86" t="s">
        <v>157</v>
      </c>
    </row>
    <row r="87" spans="49:49" ht="24" hidden="1" customHeight="1" x14ac:dyDescent="0.2">
      <c r="AW87" t="s">
        <v>158</v>
      </c>
    </row>
    <row r="88" spans="49:49" ht="24" hidden="1" customHeight="1" x14ac:dyDescent="0.2">
      <c r="AW88" t="s">
        <v>159</v>
      </c>
    </row>
    <row r="89" spans="49:49" ht="24" hidden="1" customHeight="1" x14ac:dyDescent="0.2">
      <c r="AW89" t="s">
        <v>160</v>
      </c>
    </row>
    <row r="90" spans="49:49" ht="24" hidden="1" customHeight="1" x14ac:dyDescent="0.2">
      <c r="AW90" t="s">
        <v>161</v>
      </c>
    </row>
    <row r="91" spans="49:49" ht="24" hidden="1" customHeight="1" x14ac:dyDescent="0.2">
      <c r="AW91" t="s">
        <v>162</v>
      </c>
    </row>
    <row r="92" spans="49:49" ht="24" hidden="1" customHeight="1" x14ac:dyDescent="0.2">
      <c r="AW92" t="s">
        <v>163</v>
      </c>
    </row>
    <row r="93" spans="49:49" ht="24" hidden="1" customHeight="1" x14ac:dyDescent="0.2">
      <c r="AW93" t="s">
        <v>164</v>
      </c>
    </row>
    <row r="94" spans="49:49" ht="24" hidden="1" customHeight="1" x14ac:dyDescent="0.2">
      <c r="AW94" s="51" t="s">
        <v>165</v>
      </c>
    </row>
    <row r="95" spans="49:49" ht="24" hidden="1" customHeight="1" x14ac:dyDescent="0.2">
      <c r="AW95"/>
    </row>
    <row r="96" spans="49:49" ht="24" hidden="1" customHeight="1" x14ac:dyDescent="0.2">
      <c r="AW96"/>
    </row>
    <row r="97" spans="49:49" ht="24" hidden="1" customHeight="1" x14ac:dyDescent="0.2">
      <c r="AW97"/>
    </row>
    <row r="98" spans="49:49" ht="24" hidden="1" customHeight="1" x14ac:dyDescent="0.2">
      <c r="AW98"/>
    </row>
    <row r="99" spans="49:49" ht="24" hidden="1" customHeight="1" x14ac:dyDescent="0.2">
      <c r="AW99"/>
    </row>
    <row r="100" spans="49:49" ht="24" hidden="1" customHeight="1" x14ac:dyDescent="0.2">
      <c r="AW100"/>
    </row>
    <row r="101" spans="49:49" ht="24" hidden="1" customHeight="1" x14ac:dyDescent="0.2">
      <c r="AW101"/>
    </row>
    <row r="102" spans="49:49" ht="24" hidden="1" customHeight="1" x14ac:dyDescent="0.2">
      <c r="AW102"/>
    </row>
    <row r="103" spans="49:49" ht="24" hidden="1" customHeight="1" x14ac:dyDescent="0.2">
      <c r="AW103"/>
    </row>
    <row r="104" spans="49:49" ht="24" hidden="1" customHeight="1" x14ac:dyDescent="0.2">
      <c r="AW104"/>
    </row>
    <row r="105" spans="49:49" ht="24" hidden="1" customHeight="1" x14ac:dyDescent="0.2">
      <c r="AW105"/>
    </row>
    <row r="106" spans="49:49" ht="24" hidden="1" customHeight="1" x14ac:dyDescent="0.2">
      <c r="AW106"/>
    </row>
    <row r="107" spans="49:49" ht="24" hidden="1" customHeight="1" x14ac:dyDescent="0.2">
      <c r="AW107"/>
    </row>
    <row r="108" spans="49:49" ht="24" hidden="1" customHeight="1" x14ac:dyDescent="0.2">
      <c r="AW108"/>
    </row>
    <row r="109" spans="49:49" ht="24" hidden="1" customHeight="1" x14ac:dyDescent="0.2">
      <c r="AW109"/>
    </row>
    <row r="110" spans="49:49" ht="24" hidden="1" customHeight="1" x14ac:dyDescent="0.2">
      <c r="AW110"/>
    </row>
    <row r="111" spans="49:49" ht="24" hidden="1" customHeight="1" x14ac:dyDescent="0.2">
      <c r="AW111"/>
    </row>
    <row r="112" spans="49:49" ht="24" hidden="1" customHeight="1" x14ac:dyDescent="0.2">
      <c r="AW112"/>
    </row>
    <row r="113" spans="49:49" ht="24" hidden="1" customHeight="1" x14ac:dyDescent="0.2">
      <c r="AW113"/>
    </row>
    <row r="114" spans="49:49" ht="24" hidden="1" customHeight="1" x14ac:dyDescent="0.2">
      <c r="AW114"/>
    </row>
    <row r="115" spans="49:49" ht="24" hidden="1" customHeight="1" x14ac:dyDescent="0.2">
      <c r="AW115"/>
    </row>
    <row r="116" spans="49:49" ht="24" hidden="1" customHeight="1" x14ac:dyDescent="0.2">
      <c r="AW116"/>
    </row>
    <row r="117" spans="49:49" ht="24" hidden="1" customHeight="1" x14ac:dyDescent="0.2">
      <c r="AW117"/>
    </row>
    <row r="118" spans="49:49" ht="24" hidden="1" customHeight="1" x14ac:dyDescent="0.2">
      <c r="AW118"/>
    </row>
    <row r="119" spans="49:49" ht="24" hidden="1" customHeight="1" x14ac:dyDescent="0.2">
      <c r="AW119"/>
    </row>
    <row r="120" spans="49:49" ht="24" hidden="1" customHeight="1" x14ac:dyDescent="0.2">
      <c r="AW120"/>
    </row>
    <row r="121" spans="49:49" ht="24" hidden="1" customHeight="1" x14ac:dyDescent="0.2">
      <c r="AW121"/>
    </row>
    <row r="122" spans="49:49" ht="24" hidden="1" customHeight="1" x14ac:dyDescent="0.2">
      <c r="AW122"/>
    </row>
    <row r="123" spans="49:49" ht="24" hidden="1" customHeight="1" x14ac:dyDescent="0.2">
      <c r="AW123"/>
    </row>
    <row r="124" spans="49:49" ht="24" hidden="1" customHeight="1" x14ac:dyDescent="0.2">
      <c r="AW124"/>
    </row>
    <row r="125" spans="49:49" ht="24" hidden="1" customHeight="1" x14ac:dyDescent="0.2">
      <c r="AW125"/>
    </row>
    <row r="126" spans="49:49" ht="24" hidden="1" customHeight="1" x14ac:dyDescent="0.2">
      <c r="AW126"/>
    </row>
    <row r="127" spans="49:49" ht="24" hidden="1" customHeight="1" x14ac:dyDescent="0.2">
      <c r="AW127"/>
    </row>
    <row r="128" spans="49:49" ht="24" hidden="1" customHeight="1" x14ac:dyDescent="0.2">
      <c r="AW128"/>
    </row>
    <row r="129" spans="49:49" ht="24" hidden="1" customHeight="1" x14ac:dyDescent="0.2">
      <c r="AW129"/>
    </row>
    <row r="130" spans="49:49" ht="24" hidden="1" customHeight="1" x14ac:dyDescent="0.2">
      <c r="AW130"/>
    </row>
    <row r="131" spans="49:49" ht="24" hidden="1" customHeight="1" x14ac:dyDescent="0.2">
      <c r="AW131"/>
    </row>
    <row r="132" spans="49:49" ht="24" hidden="1" customHeight="1" x14ac:dyDescent="0.2">
      <c r="AW132"/>
    </row>
    <row r="133" spans="49:49" ht="24" hidden="1" customHeight="1" x14ac:dyDescent="0.2">
      <c r="AW133"/>
    </row>
  </sheetData>
  <sheetProtection algorithmName="SHA-512" hashValue="G/7cjYqY/26DaqKr7fqt6qeAIQkoRnAjpMEMeawhvOLbdAJMDwFDD1xz5EpGWyDDMy+aSf/GrTJhdgWwz74NNg==" saltValue="Cl88xNgYEt2IgzWB2VUTJg==" spinCount="100000" sheet="1" formatRows="0"/>
  <sortState xmlns:xlrd2="http://schemas.microsoft.com/office/spreadsheetml/2017/richdata2" ref="AG27:AG35">
    <sortCondition ref="AG27:AG35"/>
  </sortState>
  <dataConsolidate/>
  <mergeCells count="65">
    <mergeCell ref="B48:H48"/>
    <mergeCell ref="N36:P36"/>
    <mergeCell ref="Q32:V32"/>
    <mergeCell ref="N32:P32"/>
    <mergeCell ref="L48:V51"/>
    <mergeCell ref="L47:V47"/>
    <mergeCell ref="Q38:V38"/>
    <mergeCell ref="G40:V43"/>
    <mergeCell ref="G38:L38"/>
    <mergeCell ref="Q34:V34"/>
    <mergeCell ref="B40:F43"/>
    <mergeCell ref="M38:P38"/>
    <mergeCell ref="B38:F38"/>
    <mergeCell ref="L45:O45"/>
    <mergeCell ref="H45:K45"/>
    <mergeCell ref="P45:V45"/>
    <mergeCell ref="T7:V7"/>
    <mergeCell ref="B30:F30"/>
    <mergeCell ref="N34:P34"/>
    <mergeCell ref="G34:L34"/>
    <mergeCell ref="B34:F34"/>
    <mergeCell ref="M30:P30"/>
    <mergeCell ref="G30:L30"/>
    <mergeCell ref="G15:K15"/>
    <mergeCell ref="B22:F22"/>
    <mergeCell ref="B15:F15"/>
    <mergeCell ref="B17:F20"/>
    <mergeCell ref="B24:F24"/>
    <mergeCell ref="B13:F13"/>
    <mergeCell ref="G11:V11"/>
    <mergeCell ref="B9:F9"/>
    <mergeCell ref="G9:V9"/>
    <mergeCell ref="AG4:AK4"/>
    <mergeCell ref="AG5:AK5"/>
    <mergeCell ref="Z4:AA4"/>
    <mergeCell ref="AB4:AC4"/>
    <mergeCell ref="A1:W1"/>
    <mergeCell ref="A2:W2"/>
    <mergeCell ref="A3:W3"/>
    <mergeCell ref="B4:G6"/>
    <mergeCell ref="H4:R6"/>
    <mergeCell ref="S4:W6"/>
    <mergeCell ref="Y21:Z21"/>
    <mergeCell ref="Y22:Z22"/>
    <mergeCell ref="B32:F32"/>
    <mergeCell ref="B26:F26"/>
    <mergeCell ref="Q30:V30"/>
    <mergeCell ref="B28:F28"/>
    <mergeCell ref="M28:P28"/>
    <mergeCell ref="G28:L28"/>
    <mergeCell ref="Q28:V28"/>
    <mergeCell ref="Q24:V24"/>
    <mergeCell ref="Q26:V26"/>
    <mergeCell ref="G24:L24"/>
    <mergeCell ref="M24:P24"/>
    <mergeCell ref="M26:P26"/>
    <mergeCell ref="G26:L26"/>
    <mergeCell ref="G22:L22"/>
    <mergeCell ref="B11:F11"/>
    <mergeCell ref="G13:J13"/>
    <mergeCell ref="G32:L32"/>
    <mergeCell ref="Q22:V22"/>
    <mergeCell ref="N15:Q15"/>
    <mergeCell ref="R15:V15"/>
    <mergeCell ref="G17:V20"/>
  </mergeCells>
  <phoneticPr fontId="9" type="noConversion"/>
  <conditionalFormatting sqref="G28:L28 Q28:V28">
    <cfRule type="expression" dxfId="2" priority="3">
      <formula>IF(OR($G$24=$AL$27,$G$24=$AL$28,$G$24=$AL$29,$G$24=$AL$30),1,0)</formula>
    </cfRule>
  </conditionalFormatting>
  <conditionalFormatting sqref="L47:V51">
    <cfRule type="expression" dxfId="1" priority="1">
      <formula>IF($P$45="",1,0)</formula>
    </cfRule>
  </conditionalFormatting>
  <conditionalFormatting sqref="Q22:V22">
    <cfRule type="expression" dxfId="0" priority="2">
      <formula>$G$22="ALTRO"</formula>
    </cfRule>
  </conditionalFormatting>
  <dataValidations count="8">
    <dataValidation type="list" allowBlank="1" showInputMessage="1" showErrorMessage="1" sqref="W11 G13" xr:uid="{00000000-0002-0000-0000-000001000000}">
      <formula1>$AG$23:$AG$24</formula1>
    </dataValidation>
    <dataValidation type="list" allowBlank="1" showInputMessage="1" showErrorMessage="1" sqref="G11:V11" xr:uid="{30F8C554-1F39-444F-9644-57875F7C4569}">
      <formula1>$AM$49:$AM$53</formula1>
    </dataValidation>
    <dataValidation type="list" allowBlank="1" showInputMessage="1" showErrorMessage="1" sqref="W20" xr:uid="{00000000-0002-0000-0000-000002000000}">
      <formula1>$AM$37:$AM$44</formula1>
    </dataValidation>
    <dataValidation type="list" allowBlank="1" showInputMessage="1" showErrorMessage="1" sqref="G38:L38" xr:uid="{41F38DD2-A6AD-6048-B634-6F889F5D436B}">
      <formula1>$AG$31:$AG$59</formula1>
    </dataValidation>
    <dataValidation type="list" allowBlank="1" showInputMessage="1" showErrorMessage="1" sqref="G24:L24" xr:uid="{00000000-0002-0000-0000-000003000000}">
      <formula1>$AL$27:$AL$40</formula1>
    </dataValidation>
    <dataValidation type="list" allowBlank="1" showInputMessage="1" showErrorMessage="1" sqref="G22" xr:uid="{FB6E76BA-49A0-874B-81EF-D37490D4ACB1}">
      <formula1>$AO$12:$AO$25</formula1>
    </dataValidation>
    <dataValidation type="list" allowBlank="1" showInputMessage="1" showErrorMessage="1" sqref="Q38:V38" xr:uid="{00000000-0002-0000-0000-000006000000}">
      <formula1>$AW$28:$AW$133</formula1>
    </dataValidation>
    <dataValidation type="list" allowBlank="1" showInputMessage="1" showErrorMessage="1" sqref="Q24:V24" xr:uid="{00000000-0002-0000-0000-000000000000}">
      <formula1>$AG$11:$AG$20</formula1>
    </dataValidation>
  </dataValidations>
  <pageMargins left="0.70866141732283472" right="0.70866141732283472" top="0.74803149606299213" bottom="0.74803149606299213" header="0.31496062992125984" footer="0.31496062992125984"/>
  <pageSetup paperSize="9" scale="58" orientation="portrait" horizontalDpi="0" verticalDpi="0"/>
  <headerFooter>
    <oddFooter>&amp;CPagina &amp;P di &amp;N</oddFooter>
  </headerFooter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MOD10-10BIS-GRU</vt:lpstr>
      <vt:lpstr>'MOD10-10BIS-GRU'!Area_stampa</vt:lpstr>
      <vt:lpstr>'MOD10-10BIS-GRU'!Titoli_stampa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Gambaro</dc:creator>
  <cp:lastModifiedBy>Elena Pezzuto</cp:lastModifiedBy>
  <cp:lastPrinted>2016-05-23T15:02:53Z</cp:lastPrinted>
  <dcterms:created xsi:type="dcterms:W3CDTF">2013-11-14T14:50:33Z</dcterms:created>
  <dcterms:modified xsi:type="dcterms:W3CDTF">2026-04-17T10:21:42Z</dcterms:modified>
</cp:coreProperties>
</file>