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epezzuto/CMCC Dropbox/CMCC-archivio/NORM-Normativa/19_ISO/1. ARCHIVIO_SISTEMA GESTIONE QUALITÀ/3. GRU_Gestione Risorse Umane/1. ITA/4. MODULISTICA/1. MODIFICABILI/"/>
    </mc:Choice>
  </mc:AlternateContent>
  <xr:revisionPtr revIDLastSave="0" documentId="13_ncr:1_{BDA7A622-35A6-054B-87FE-FFB00BFB74CB}" xr6:coauthVersionLast="47" xr6:coauthVersionMax="47" xr10:uidLastSave="{00000000-0000-0000-0000-000000000000}"/>
  <bookViews>
    <workbookView xWindow="0" yWindow="780" windowWidth="34200" windowHeight="20160" xr2:uid="{00000000-000D-0000-FFFF-FFFF00000000}"/>
  </bookViews>
  <sheets>
    <sheet name="MOD.09-GRU" sheetId="1" r:id="rId1"/>
    <sheet name="QUALIFICHE" sheetId="4" r:id="rId2"/>
  </sheets>
  <definedNames>
    <definedName name="_xlnm.Print_Area" localSheetId="1">QUALIFICHE!$A$1:$F$19</definedName>
    <definedName name="_xlnm.Print_Titles" localSheetId="0">'MOD.09-GRU'!$4:$10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1" l="1"/>
  <c r="AB48" i="1"/>
  <c r="AM61" i="1"/>
  <c r="AN61" i="1"/>
  <c r="V18" i="1"/>
  <c r="B13" i="1" l="1"/>
  <c r="B16" i="1"/>
  <c r="K15" i="1" l="1"/>
  <c r="K16" i="1"/>
  <c r="K55" i="1"/>
  <c r="B55" i="1"/>
  <c r="B43" i="1"/>
  <c r="AA49" i="1"/>
  <c r="B64" i="1"/>
  <c r="AB45" i="1"/>
  <c r="B53" i="1"/>
  <c r="AN64" i="1"/>
  <c r="AM64" i="1" l="1"/>
  <c r="AE25" i="1"/>
  <c r="I51" i="1" s="1"/>
  <c r="S55" i="1" l="1"/>
  <c r="V55" i="1"/>
  <c r="AC7" i="1" l="1"/>
  <c r="AC6" i="1"/>
  <c r="B51" i="1"/>
  <c r="B18" i="1"/>
  <c r="B62" i="1"/>
  <c r="I67" i="1"/>
  <c r="B57" i="1"/>
  <c r="AB55" i="1"/>
  <c r="AC5" i="1"/>
  <c r="I45" i="1" l="1"/>
  <c r="B59" i="1"/>
  <c r="Y55" i="1"/>
  <c r="B60" i="1"/>
  <c r="H60" i="1"/>
  <c r="AK25" i="1" l="1"/>
  <c r="B68" i="1"/>
  <c r="S22" i="1" l="1"/>
  <c r="B39" i="1" l="1"/>
  <c r="AB39" i="1"/>
  <c r="AN66" i="1"/>
  <c r="AM66" i="1"/>
  <c r="AN51" i="1"/>
  <c r="AN52" i="1" s="1"/>
  <c r="AM51" i="1"/>
  <c r="AM56" i="1" s="1"/>
  <c r="AM63" i="1"/>
  <c r="AN63" i="1"/>
  <c r="AM68" i="1"/>
  <c r="AM69" i="1" s="1"/>
  <c r="AM70" i="1" s="1"/>
  <c r="AA66" i="1"/>
  <c r="L60" i="1"/>
  <c r="B30" i="1"/>
  <c r="B27" i="1"/>
  <c r="B48" i="1"/>
  <c r="P60" i="1"/>
  <c r="AN56" i="1" l="1"/>
  <c r="AN60" i="1" s="1"/>
  <c r="AM52" i="1"/>
  <c r="AM60" i="1" s="1"/>
  <c r="AM71" i="1"/>
  <c r="AM72" i="1" s="1"/>
  <c r="AL45" i="1"/>
  <c r="I68" i="1" l="1"/>
  <c r="I66" i="1"/>
  <c r="AM65" i="1"/>
  <c r="AM73" i="1"/>
  <c r="AM74" i="1" s="1"/>
  <c r="AM75" i="1" s="1"/>
  <c r="AN65" i="1" l="1"/>
  <c r="G55" i="1" l="1"/>
  <c r="N55" i="1" l="1"/>
  <c r="I6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CMCC CMCC</author>
    <author>Microsoft Office User</author>
  </authors>
  <commentList>
    <comment ref="B8" authorId="0" shapeId="0" xr:uid="{00000000-0006-0000-0000-000001000000}">
      <text>
        <r>
          <rPr>
            <b/>
            <sz val="9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Helv"/>
          </rPr>
          <t xml:space="preserve"> Selezionare il tipo di contratto dal menu a tendina</t>
        </r>
      </text>
    </comment>
    <comment ref="B11" authorId="0" shapeId="0" xr:uid="{00000000-0006-0000-0000-000002000000}">
      <text>
        <r>
          <rPr>
            <b/>
            <sz val="9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Helv"/>
          </rPr>
          <t>nome e cognome del collaboratore a cui fare il contratto</t>
        </r>
      </text>
    </comment>
    <comment ref="B15" authorId="0" shapeId="0" xr:uid="{00000000-0006-0000-0000-000003000000}">
      <text>
        <r>
          <rPr>
            <b/>
            <sz val="9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Helv"/>
          </rPr>
          <t xml:space="preserve">Indicare se la risorsa ha/ha avuto altre collaborazioni con il CMCC	</t>
        </r>
      </text>
    </comment>
    <comment ref="B27" authorId="0" shapeId="0" xr:uid="{00000000-0006-0000-0000-000004000000}">
      <text>
        <r>
          <rPr>
            <b/>
            <sz val="9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Helv"/>
          </rPr>
          <t>Inserire una</t>
        </r>
        <r>
          <rPr>
            <b/>
            <sz val="9"/>
            <color rgb="FF000000"/>
            <rFont val="Calibri"/>
            <family val="2"/>
          </rPr>
          <t xml:space="preserve"> </t>
        </r>
        <r>
          <rPr>
            <sz val="12"/>
            <color rgb="FF000000"/>
            <rFont val="Helv"/>
          </rPr>
          <t>descrizione generica delle attività da svolgere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B30" authorId="0" shapeId="0" xr:uid="{00000000-0006-0000-0000-000005000000}">
      <text>
        <r>
          <rPr>
            <sz val="9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Helv"/>
          </rPr>
          <t>Inserire una descrizione dettagliata dei risultati da produrre nell'ambito del contratto</t>
        </r>
      </text>
    </comment>
    <comment ref="B35" authorId="0" shapeId="0" xr:uid="{00000000-0006-0000-0000-000006000000}">
      <text>
        <r>
          <rPr>
            <b/>
            <sz val="9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Helv"/>
          </rPr>
          <t>Indicare il nome del progetto su cui va caricato il costo del contratto</t>
        </r>
      </text>
    </comment>
    <comment ref="T35" authorId="0" shapeId="0" xr:uid="{00000000-0006-0000-0000-000007000000}">
      <text>
        <r>
          <rPr>
            <b/>
            <sz val="9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Helv"/>
          </rPr>
          <t>Indicare, se necessario, la linea o il Work Package del progetto su cui verterà la collaborazione</t>
        </r>
      </text>
    </comment>
    <comment ref="B37" authorId="0" shapeId="0" xr:uid="{00000000-0006-0000-0000-000008000000}">
      <text>
        <r>
          <rPr>
            <b/>
            <sz val="9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Helv"/>
          </rPr>
          <t>Scegliere dal menu a tendina la voce di spesa</t>
        </r>
      </text>
    </comment>
    <comment ref="T37" authorId="0" shapeId="0" xr:uid="{00000000-0006-0000-0000-000009000000}">
      <text>
        <r>
          <rPr>
            <b/>
            <sz val="9"/>
            <color rgb="FF000000"/>
            <rFont val="Calibri"/>
            <family val="2"/>
          </rPr>
          <t xml:space="preserve">
</t>
        </r>
        <r>
          <rPr>
            <b/>
            <sz val="9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Helv"/>
          </rPr>
          <t>Scegliere dal menu a tendina la divisione/funzione per cui lavorerà il collaboratore/professionista.</t>
        </r>
      </text>
    </comment>
    <comment ref="B41" authorId="1" shapeId="0" xr:uid="{638D6565-370C-4D49-BAD7-CD058E630C18}">
      <text>
        <r>
          <rPr>
            <sz val="12"/>
            <color rgb="FF000000"/>
            <rFont val="Helvetica"/>
            <family val="2"/>
          </rPr>
          <t>Scegli dal menu a tendina la macrocategoria su cui va il costo del contratto. Obbligatorio in caso di Costi centrali</t>
        </r>
      </text>
    </comment>
    <comment ref="T41" authorId="0" shapeId="0" xr:uid="{00000000-0006-0000-0000-00000B000000}">
      <text>
        <r>
          <rPr>
            <b/>
            <sz val="9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Helv"/>
          </rPr>
          <t>indicare la sede del CMCC a cui farà riferimento il collaboratore/professionista</t>
        </r>
      </text>
    </comment>
    <comment ref="B43" authorId="0" shapeId="0" xr:uid="{00000000-0006-0000-0000-00000C000000}">
      <text>
        <r>
          <rPr>
            <b/>
            <sz val="9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Helv"/>
          </rPr>
          <t>Scegliere dal menu a tendina una delle qualifiche interne CMCC</t>
        </r>
      </text>
    </comment>
    <comment ref="B48" authorId="0" shapeId="0" xr:uid="{00000000-0006-0000-0000-00000D000000}">
      <text>
        <r>
          <rPr>
            <sz val="12"/>
            <color rgb="FF000000"/>
            <rFont val="Helv"/>
          </rPr>
          <t xml:space="preserve">
</t>
        </r>
        <r>
          <rPr>
            <sz val="12"/>
            <color rgb="FF000000"/>
            <rFont val="Helv"/>
          </rPr>
          <t xml:space="preserve">Inserire:
</t>
        </r>
        <r>
          <rPr>
            <sz val="12"/>
            <color rgb="FF000000"/>
            <rFont val="Helv"/>
          </rPr>
          <t xml:space="preserve">- il Lordo Collaboratore in caso di COCOCO;
</t>
        </r>
        <r>
          <rPr>
            <sz val="12"/>
            <color rgb="FF000000"/>
            <rFont val="Helv"/>
          </rPr>
          <t>- il Compenso negli altri casi</t>
        </r>
      </text>
    </comment>
    <comment ref="AB48" authorId="0" shapeId="0" xr:uid="{00000000-0006-0000-0000-00000E000000}">
      <text>
        <r>
          <rPr>
            <b/>
            <sz val="9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Helv"/>
          </rPr>
          <t xml:space="preserve">CAMPO OBBLIGATORIO
</t>
        </r>
        <r>
          <rPr>
            <sz val="12"/>
            <color rgb="FF000000"/>
            <rFont val="Helv"/>
          </rPr>
          <t>il costo orario deve essere ricompreso nel range previsto per la qualifica (vedi lo sheet "Qualifiche" e il controllo a lato)</t>
        </r>
      </text>
    </comment>
    <comment ref="B66" authorId="0" shapeId="0" xr:uid="{0CB66341-7C91-3347-BE68-5882C931F326}">
      <text>
        <r>
          <rPr>
            <b/>
            <sz val="9"/>
            <color rgb="FF000000"/>
            <rFont val="Calibri"/>
            <family val="2"/>
          </rPr>
          <t xml:space="preserve">
</t>
        </r>
        <r>
          <rPr>
            <u/>
            <sz val="12"/>
            <color rgb="FF000000"/>
            <rFont val="Helv"/>
          </rPr>
          <t>CAMPO CHE SI AUTOCOMPILA DOPO AVER SELEZIONATO LA TIPOLOGIA DI CONTRATTO</t>
        </r>
        <r>
          <rPr>
            <sz val="12"/>
            <color rgb="FF000000"/>
            <rFont val="Helv"/>
          </rPr>
          <t xml:space="preserve">
</t>
        </r>
        <r>
          <rPr>
            <sz val="12"/>
            <color rgb="FF000000"/>
            <rFont val="Helv"/>
          </rPr>
          <t>Lordo azienda del contratto</t>
        </r>
      </text>
    </comment>
    <comment ref="B68" authorId="0" shapeId="0" xr:uid="{00000000-0006-0000-0000-000010000000}">
      <text>
        <r>
          <rPr>
            <b/>
            <sz val="9"/>
            <color rgb="FF000000"/>
            <rFont val="Calibri"/>
            <family val="2"/>
          </rPr>
          <t xml:space="preserve">
</t>
        </r>
        <r>
          <rPr>
            <u/>
            <sz val="12"/>
            <color rgb="FF000000"/>
            <rFont val="Helv"/>
          </rPr>
          <t>CAMPO CHE SI AUTOCOMPILA DOPO AVER SELEZIONATO LA TIPOLOGIA DI CONTRATTO</t>
        </r>
        <r>
          <rPr>
            <sz val="12"/>
            <color rgb="FF000000"/>
            <rFont val="Helv"/>
          </rPr>
          <t xml:space="preserve">
</t>
        </r>
        <r>
          <rPr>
            <sz val="12"/>
            <color rgb="FF000000"/>
            <rFont val="Helv"/>
          </rPr>
          <t>Lordo azienda del contratto</t>
        </r>
      </text>
    </comment>
    <comment ref="B70" authorId="0" shapeId="0" xr:uid="{00000000-0006-0000-0000-000011000000}">
      <text>
        <r>
          <rPr>
            <sz val="12"/>
            <color rgb="FF000000"/>
            <rFont val="Helv"/>
          </rPr>
          <t xml:space="preserve">
</t>
        </r>
        <r>
          <rPr>
            <sz val="12"/>
            <color rgb="FF000000"/>
            <rFont val="Helv"/>
          </rPr>
          <t>eventuali altre informazioni</t>
        </r>
      </text>
    </comment>
  </commentList>
</comments>
</file>

<file path=xl/sharedStrings.xml><?xml version="1.0" encoding="utf-8"?>
<sst xmlns="http://schemas.openxmlformats.org/spreadsheetml/2006/main" count="259" uniqueCount="241">
  <si>
    <t>Inail</t>
  </si>
  <si>
    <t>Per andare a capo nelle celle usare:</t>
  </si>
  <si>
    <t>per Windows ALT + invio</t>
  </si>
  <si>
    <t>per Mac: CTRL + ALT + invio // ALT + mela</t>
  </si>
  <si>
    <t>Codifiche</t>
  </si>
  <si>
    <t>SCHEMI DI CALCOLO PER LORDO AZIENDA</t>
  </si>
  <si>
    <t>Sr Scientific Mgr</t>
  </si>
  <si>
    <t>costo orario:</t>
  </si>
  <si>
    <t>(b) Cassa calcolato su (a)</t>
  </si>
  <si>
    <t>Tot 1</t>
  </si>
  <si>
    <t>RICHIESTA CONTRATTO NON SUBORDINATO</t>
  </si>
  <si>
    <t>TIPOLOGIA DI CONTRATTO</t>
  </si>
  <si>
    <t>Jr Scientific Mgr</t>
  </si>
  <si>
    <t>NO</t>
  </si>
  <si>
    <t>IL MODULO VA COMPILATO IN OGNI SUA PARTE.
PER CHIARIMENTI, SI PREGA DI CONTATTARE L'UFFICIO DEL PERSONALE</t>
    <phoneticPr fontId="7" type="noConversion"/>
  </si>
  <si>
    <t>Progetto</t>
  </si>
  <si>
    <t>Compenso lordo collaboratore</t>
  </si>
  <si>
    <t>SI</t>
  </si>
  <si>
    <t>Post Degree</t>
  </si>
  <si>
    <t>Post Doc</t>
  </si>
  <si>
    <t>Personale Tecnico-Manageriale</t>
  </si>
  <si>
    <t>intera</t>
  </si>
  <si>
    <t>agevolata</t>
  </si>
  <si>
    <t>COMMESSE E CONSULENZE</t>
  </si>
  <si>
    <t>SUBCONTRATTI</t>
  </si>
  <si>
    <t>ALTRI COSTI</t>
  </si>
  <si>
    <t>PERSONALE</t>
    <phoneticPr fontId="4" type="noConversion"/>
  </si>
  <si>
    <t>COLLABORAZIONE COORDINATA E CONTINUATIVA</t>
  </si>
  <si>
    <t>CONSULENZA</t>
  </si>
  <si>
    <t>Inps</t>
  </si>
  <si>
    <t>Minimo</t>
    <phoneticPr fontId="0" type="noConversion"/>
  </si>
  <si>
    <t>Massimo</t>
    <phoneticPr fontId="0" type="noConversion"/>
  </si>
  <si>
    <t>Lordo Collaboratore</t>
    <phoneticPr fontId="0" type="noConversion"/>
  </si>
  <si>
    <t>Rate Orario</t>
    <phoneticPr fontId="0" type="noConversion"/>
  </si>
  <si>
    <t>INPS calcolato su (a)+(b)</t>
  </si>
  <si>
    <t>(c) Totale al netto di iva</t>
  </si>
  <si>
    <t>Qualifiche</t>
  </si>
  <si>
    <t>Descrizione</t>
  </si>
  <si>
    <t>Sr Scientist</t>
  </si>
  <si>
    <t>Costo Totale (Collaborazione coordinata e continuativa)</t>
  </si>
  <si>
    <t>Sede</t>
  </si>
  <si>
    <t>Nome e Cognome</t>
  </si>
  <si>
    <t>Numero rate o mensilità</t>
  </si>
  <si>
    <t>Costo totale</t>
  </si>
  <si>
    <t>Note</t>
  </si>
  <si>
    <t>Costo Totale (consulente)</t>
  </si>
  <si>
    <t>(a) Onorario</t>
  </si>
  <si>
    <t>aliquote piena</t>
  </si>
  <si>
    <t>Imponibile IVA</t>
  </si>
  <si>
    <t>STAMPARE con adatta 1 pagina in laghezza e (in bianco) altezza</t>
  </si>
  <si>
    <t>Data inizio contratto</t>
  </si>
  <si>
    <t>Data fine contratto</t>
  </si>
  <si>
    <t>Durata in mesi</t>
  </si>
  <si>
    <t>(Considera se si applica la non imponibilità)</t>
  </si>
  <si>
    <t>(d) IVA</t>
  </si>
  <si>
    <t>Costo complessivo (c)+(d)</t>
  </si>
  <si>
    <t>Rate orario</t>
  </si>
  <si>
    <t>Compilare solo le celle in giallo</t>
  </si>
  <si>
    <t/>
  </si>
  <si>
    <t>dip?</t>
  </si>
  <si>
    <t>Inps a carico azienda (2/3)</t>
  </si>
  <si>
    <t>Inal a carico azienda (2/3)</t>
  </si>
  <si>
    <t>Costo complessivo</t>
  </si>
  <si>
    <t>Costo totale (occasionale)</t>
  </si>
  <si>
    <t>Jr Scientist</t>
  </si>
  <si>
    <t>VOCE DI SPESA</t>
  </si>
  <si>
    <t>SEME</t>
  </si>
  <si>
    <t>MODALITA' DI SELEZIONE</t>
  </si>
  <si>
    <t>L’inquadramento contrattuale e le retribuzioni del personale appartenente a tale categoria si definiscono di volta in volta, sulla base del posizionamento negli organigrammi della Fondazione, nonché delle responsabilità ricoperte e delle mansioni svolte, nel rispetto delle previsioni del CCNL di riferimento</t>
  </si>
  <si>
    <t>Principal Scientific Mgr</t>
  </si>
  <si>
    <t xml:space="preserve"> </t>
  </si>
  <si>
    <t>Welfare</t>
  </si>
  <si>
    <t>SEDE</t>
  </si>
  <si>
    <t xml:space="preserve">Scientist </t>
  </si>
  <si>
    <t>CONSULENZA ESTERA</t>
  </si>
  <si>
    <t>PNRR</t>
  </si>
  <si>
    <t>Centro di Costo</t>
  </si>
  <si>
    <t xml:space="preserve">Work Package </t>
  </si>
  <si>
    <t>RAAS</t>
  </si>
  <si>
    <t>REMHI</t>
  </si>
  <si>
    <t>ECIP</t>
  </si>
  <si>
    <t>TCT</t>
  </si>
  <si>
    <t>ROFS</t>
  </si>
  <si>
    <t>ESYDA</t>
  </si>
  <si>
    <t>GOCO</t>
  </si>
  <si>
    <t>CLIVAP</t>
  </si>
  <si>
    <t>Si richiede di redigere il contratto in lingua:</t>
  </si>
  <si>
    <t>LINGUE</t>
  </si>
  <si>
    <t>Italiano</t>
  </si>
  <si>
    <t>Inglese</t>
  </si>
  <si>
    <t>Lecce - Via Marco Biagi, 5</t>
  </si>
  <si>
    <t>Bologna - Viale c. Berti Pichat 6/2</t>
  </si>
  <si>
    <t>Caserta - Via Thomas Alva Edison s.n.c.</t>
  </si>
  <si>
    <t>Milano - Via Bergognone, 34</t>
  </si>
  <si>
    <t>Sassari - Via De Nicola, 9</t>
  </si>
  <si>
    <t>Venezia Marghera - Via della Libertà, 12</t>
  </si>
  <si>
    <t>Viterbo - Via Igino Garbini, 51</t>
  </si>
  <si>
    <t>IMPEGNO</t>
  </si>
  <si>
    <t>Parziale</t>
  </si>
  <si>
    <t>Full Time</t>
  </si>
  <si>
    <t>TERMINI DI PAGAMENTO</t>
  </si>
  <si>
    <t>Mensile</t>
  </si>
  <si>
    <t>Bimestrale</t>
  </si>
  <si>
    <t>Trimestrale</t>
  </si>
  <si>
    <t>Altro</t>
  </si>
  <si>
    <t>Termini di pagamento</t>
  </si>
  <si>
    <t>COLLABORAZIONE AUTONOMA OCCASIONALE</t>
  </si>
  <si>
    <t>CENTRO DI COSTO</t>
  </si>
  <si>
    <t>Principal Scientist</t>
  </si>
  <si>
    <t>JOB CALL</t>
  </si>
  <si>
    <t>CV PRESENTE IN ATS (Application Tracking System)</t>
  </si>
  <si>
    <t>-</t>
  </si>
  <si>
    <t>Aliquote contributi: Anno 2024</t>
  </si>
  <si>
    <t>SOWAS</t>
  </si>
  <si>
    <t>Milano - Largo Francesco Richini, 6</t>
  </si>
  <si>
    <t>UNITÀ ORGANIZZATIVA</t>
  </si>
  <si>
    <t>IAFES</t>
  </si>
  <si>
    <t>HIGH PERFORMANCE COMPUTING CENTER</t>
  </si>
  <si>
    <t>ADVANCED DIGITAL INNOVATION CENTER</t>
  </si>
  <si>
    <t>ADVANCED TRAINING AND EDUCATION CENTER</t>
  </si>
  <si>
    <t>FUND-RAISING</t>
  </si>
  <si>
    <t>COMMUNICATION &amp; SCIENCE OUTREACH</t>
  </si>
  <si>
    <t>GENERAL COUNSEL</t>
  </si>
  <si>
    <t>EXECUTIVE OFFICE</t>
  </si>
  <si>
    <t>LEGAL &amp; CONTRACT ADVISORY</t>
  </si>
  <si>
    <t>PUBLIC PROCUREMENT</t>
  </si>
  <si>
    <t>INFORMATION TECHNOLOGY</t>
  </si>
  <si>
    <t>FACILITY MGMT &amp; HSE</t>
  </si>
  <si>
    <t>Unità Organizzativa</t>
  </si>
  <si>
    <t xml:space="preserve">MOD09-GRU
</t>
  </si>
  <si>
    <t>PEOPLE &amp; CULTURE</t>
  </si>
  <si>
    <t>IESP (Se non appartenente a Divisione)</t>
  </si>
  <si>
    <t>ICR (Se non appartenente a Divisione)</t>
  </si>
  <si>
    <t>EIEE (Se non appartenente a Divisione)</t>
  </si>
  <si>
    <t>CHIARA FAMA</t>
  </si>
  <si>
    <t>Integration of the planetary biogeochemical and industrial carbon cycle</t>
  </si>
  <si>
    <t>Predicting socio-economic impacts of climate change</t>
  </si>
  <si>
    <t>Global coasts as a new frontier</t>
  </si>
  <si>
    <t>Integrating AI and ML in the modeling chain</t>
  </si>
  <si>
    <t>Piena</t>
  </si>
  <si>
    <t>Ridotta</t>
  </si>
  <si>
    <t>23100000 - IPSO</t>
  </si>
  <si>
    <t>23101001 - ICC</t>
  </si>
  <si>
    <t>23101002 - PSEO</t>
  </si>
  <si>
    <t>23101003 - GCNF</t>
  </si>
  <si>
    <t>23101004 - AIML</t>
  </si>
  <si>
    <t>23101100 - ICR</t>
  </si>
  <si>
    <t>23101102 - IAFES</t>
  </si>
  <si>
    <t>23101103 - RAAS</t>
  </si>
  <si>
    <t>23101104 - REMHI</t>
  </si>
  <si>
    <t>23101106 - SOWAS</t>
  </si>
  <si>
    <t>23101200 - EIEE</t>
  </si>
  <si>
    <t>23101201 - SEME</t>
  </si>
  <si>
    <t>23101202 - ECIP</t>
  </si>
  <si>
    <t>23101203 - TCT</t>
  </si>
  <si>
    <t>23101300 - IESP</t>
  </si>
  <si>
    <t>23101305 - GOCO</t>
  </si>
  <si>
    <t>23101306 - ESYDA</t>
  </si>
  <si>
    <t>23101307 - CLIVAP</t>
  </si>
  <si>
    <t>23101308 - ROFS</t>
  </si>
  <si>
    <t>23101500 - ADIC</t>
  </si>
  <si>
    <t>23101400 - ATEC</t>
  </si>
  <si>
    <t>23102101 - CDA, Comitato Esec.</t>
  </si>
  <si>
    <t>23102102 - Collegio Revisori</t>
  </si>
  <si>
    <t>23102103 - Consiglio Scientifico</t>
  </si>
  <si>
    <t>23102201 - Fund Raising</t>
  </si>
  <si>
    <t>23102202 - Communication e Science Outreach</t>
  </si>
  <si>
    <t>23102203 - IT</t>
  </si>
  <si>
    <t>23102205 - Legal e Contract Advisory</t>
  </si>
  <si>
    <t>23102206 - People e Culture</t>
  </si>
  <si>
    <t>23102207 - Executive Office</t>
  </si>
  <si>
    <t>23102208 - Division Manager</t>
  </si>
  <si>
    <t>23102209 - Facility Mgmt e HSE</t>
  </si>
  <si>
    <t>23102210 - Amministrazione Generico</t>
  </si>
  <si>
    <t>23102211 - Altri costi centrali</t>
  </si>
  <si>
    <t>23102301 - Old Data Center</t>
  </si>
  <si>
    <t>23102302 - Data Center</t>
  </si>
  <si>
    <t>23102303 - Conness. reti e dati</t>
  </si>
  <si>
    <t>23102401 - Comitato strategico</t>
  </si>
  <si>
    <t>23102402 - Partecipazioni</t>
  </si>
  <si>
    <t>23102403 - Annual meeting</t>
  </si>
  <si>
    <t>23102404 - Cooperaz. Scientif.</t>
  </si>
  <si>
    <t>23102405 - Fellows programme</t>
  </si>
  <si>
    <t>23102406 - Direzione Scientific</t>
  </si>
  <si>
    <t>23102407 - Leadership Group</t>
  </si>
  <si>
    <t>23102408 - Riviste abbonamenti servizi alla ricerca</t>
  </si>
  <si>
    <t>23103010 - Bologna</t>
  </si>
  <si>
    <t>23103020 - Caserta</t>
  </si>
  <si>
    <t>23103030 - Lecce</t>
  </si>
  <si>
    <t>23103031 - Lecce Spazio</t>
  </si>
  <si>
    <t>23103040 - Milano Base</t>
  </si>
  <si>
    <t>23103050 - Torino</t>
  </si>
  <si>
    <t>23103060 - Civitavecchia</t>
  </si>
  <si>
    <t>23103070 - Milano Regus</t>
  </si>
  <si>
    <t>23103080 - Sassari</t>
  </si>
  <si>
    <t>23103090 - Venezia</t>
  </si>
  <si>
    <t>23103100 - Viterbo</t>
  </si>
  <si>
    <t>23104000 - Altra Formazione Superiore</t>
  </si>
  <si>
    <t>23106000 - Infrastrutture</t>
  </si>
  <si>
    <t>23102104 - Organismo di Vigilanza</t>
  </si>
  <si>
    <t>23102212 - General Counsel</t>
  </si>
  <si>
    <t>23102213 - Public Procurement</t>
  </si>
  <si>
    <t>23102304 - Servizi Cybersecurity</t>
  </si>
  <si>
    <t>23102220 - Licenze e Acquisti IT</t>
  </si>
  <si>
    <t>23107100 - Direzione Operations</t>
  </si>
  <si>
    <t>Proroga contrattuale:</t>
  </si>
  <si>
    <t>23102214 - Project Admin &amp; Management Control</t>
  </si>
  <si>
    <t>ADMINISTRATION &amp; FINANCE</t>
  </si>
  <si>
    <t>PROJECT ADMINISTRATION &amp; MGMT CONTROL</t>
  </si>
  <si>
    <t>pensione</t>
  </si>
  <si>
    <t>contratto di lavoro subordinato con altro datore di lavoro</t>
  </si>
  <si>
    <t>LUOGO E DATA</t>
  </si>
  <si>
    <t>23102204 - AF</t>
  </si>
  <si>
    <t>Principal Associate Scientist</t>
  </si>
  <si>
    <t>Sr Associate Scientist</t>
  </si>
  <si>
    <t>Associate Scientist</t>
  </si>
  <si>
    <t>Jr Associate Scientist</t>
  </si>
  <si>
    <t>Coordina gruppi di lavoro e programmi di ricerca con poteri di discrezionalità decisionale e responsabilità gestionali anche nella conduzione e nel coordinamento di risorse e persone, in settori o servizi di particolare complessità operativa; supporta la Direzione Scientifica nella valutazione e nella definizione di politiche ed indirizzi di ricerca; declina le strategie della Fondazione nei programmi di attività che coordina e ne monitora l'implementazione; ha una consolidata esperienza e capacità sia nella presentazione di proposte che nel reperimento di finanziamenti esterni. La sua maturità professionale deve essere tale da contribuire alle attività strategiche ed interdivisionali del CMCC. Apporta valore e aumenta il livello della conoscenza e lo standing internazionale della Fondazione. 
Esperienza e Formazione Richiesta: Dottorato di Ricerca o esperienza di lavoro equivalente; esperienza di lavoro di almeno 13 anni nel CMCC o in istituzioni di ricerca equivalenti o università; almeno due mandati in ruoli apicali nel CMCC (Direttore di Divisione o equivalenti). Gestione in autonomia di una rete di relazioni internazionali che contribuiscono alla visibilità del CMCC nell'area internazionale della ricerca.</t>
  </si>
  <si>
    <t>Coordina gruppi di lavoro e di progetti di ricerca; è autonomo nella soluzione di problemi complessi; è in grado di valutare e definire politiche ed indirizzi di ricerca; ha esperienza nella presentazione di proposte progettuali e capacità nel reperimento di finanziamenti esterni. La sua attività è dedicata prevalentemente ad attività strategiche ed interdivisionali del CMCC. 
Dottorato di ricerca ed esperienza di lavoro di almeno 10 anni nel CMCC o in istituzioni di ricerca equivalenti o università.
Un livello di produzione scientifica documentato con, o assimilabile a, citazioni e H-index, superiori alle soglie indicate dalla Tabella dell’Abilitazione per la I Fascia (https://abilitazione.miur.it/public/documenti/2018/Tabelle_Valori_Soglia_ALLEGATI_DM_589_2018.pdf), maggiorate del 50%, arrotondato in eccesso all’intero più vicino. In caso di assenza di H-Index e Citazioni per il proprio settore di riferimento, si potrà considerare il numero di Articoli Classe A.</t>
  </si>
  <si>
    <t>E' autonomo nello svolgimento dell’attività di ricerca e nell’utilizzo degli strumenti necessari, gestisce attività implicanti diverse soluzioni non prestabilite e con responsabilità connesse alle scelte scientifiche e gestionali; è autonomo nella soluzione di problemi e collabora alla definizione degli indirizzi di ricerca; partecipa a progetti di ricerca nazionali e internazionali, nei quali assume la responsabilità della gestione di aree di ricerca o di WorkPackage di progetto; è in grado di gestire gruppi di lavoro; collabora alla presentazione di proposte progettuali; ha un buon livello di pubblicazione dei risultati ottenuti. La sua attività è dedicata prevalentemente ad attività strategiche ed interdivisionali del CMCC.
Dottorato di ricerca ed esperienza di lavoro di almeno 6 anni nel CMCC o in istituzioni di ricerca equivalenti o università.
Un livello di produzione scientifica documentato con, o assimilabile a, citazioni e H-index superiori alle soglie indicate dalla Tabella dell’Abilitazione per la II Fascia (https://abilitazione.miur.it/public/documenti/2018/Tabelle_Valori_Soglia_ALLEGATI_DM_589_2018.pdf), maggiorate del 50%, arrotondato in eccesso all’intero più vicino.  In caso di assenza di H-Index e Citazioni per il proprio settore di riferimento, si potrà considerare il numero di Articoli Classe A.</t>
  </si>
  <si>
    <t>Collabora in progetti di ricerca nazionali e internazionali e nella redazione dei rapporti di progetto; è in grado di utilizzare tutti gli strumenti principali dell’attività di ricerca; svolge attività con diversi livelli di complessità e con grado di responsabilità relativo alla correttezza complessiva delle procedure gestite; partecipa alla pubblicazione dei risultati della ricerca; 
Esperienza e Formazione Richiesta: Dottorato di ricerca ed esperienza di almeno 3 anni. Per review dell'ente di ricerca sul lavoro svolto e sull’agenda che si intende perseguire (attraverso la tenuta di un seminario)</t>
  </si>
  <si>
    <t xml:space="preserve">Realizza attività di ricerca sulla base di procedure prestabilite e con responsabilità relative alla corretta esecuzione delle stesse; collabora in progetti di ricerca nazionali e internazionali; contribuisce alla pubblicazione dei risultati della ricerca.
Esperienza e Formazione Richiesta: Dottorato di ricerca. </t>
  </si>
  <si>
    <t>Realizza attività di ricerca sulla base di procedure prestabilite e con responsabilità relative alla corretta esecuzione delle stesse; collabora in progetti di ricerca nazionali e internazionali; contribuisce alla pubblicazione dei risultati della ricerca.
Esperienza e Formazione Richiesta: Laurea specialistica. 
Durata di riferimento della collaborazione: un anno.</t>
  </si>
  <si>
    <t>Supporta la Direzione strategica nella definizione dei nuovi filoni di attività scientifica della Fondazione. 
Nell’ambito degli indirizzi strategici della Fondazione guida nuovi progetti da un punto di vista tecnico-scientifico.
Gestisce in autonomia una rete di relazioni internazionali che contribuisce alla visibilità del CMCC nell'area internazionale della ricerca.
In grado di coordinare gruppi di lavoro e programmi di ricerca con poteri di discrezionalità decisionale e responsabilità gestionali anche nella conduzione e nel coordinamento di risorse e persone, in settori o servizi di particolare complessità operativa.
In grado di rappresentare l'istituzione in conferenze e pubblicazioni scientifiche.
Funge da mentore per il personale di supporto alla ricerca junior.
Esperienza e formazione richiesta: guida strategica della ricerca, 13 anni di esperienza scientifica, con una storia documentata di Frameworks/Policies/Strumenti e leadership in progetti di ricerca complessi.</t>
  </si>
  <si>
    <t>Eroga consulenza e supporto tecnico-scientifico in contesti rilevanti per l’applicazione operativa della ricerca scientifica della Fondazione.
Fornisce un supporto tecnico-scientifico determinante per l'analisi dati e lo sviluppo di modelli collaborando strettamente con il team di ricerca.
Gestisce e coordina le attività di assistenza tecnico-scientifica con responsabilità relative al risultato dell’intera attività, sviluppando nuovi framework e/o strumenti di analisi e modelli.
Ha consolidate capacità nel reperimento di finanziamenti esterni.
Influenza le direzioni della ricerca e rappresenta l'ente in consessi scientifici e istituzionali di alto livello.
Funge da mentore per il personale di supporto alla ricerca junior.
Esperienza e formazione richiesta: 10 anni di esperienza consolidata, sviluppo di framework strategici
Esperto in sviluppo tecnologico, gestione progetti</t>
  </si>
  <si>
    <t>Fornisce un supporto tecnico- scientifico avanzato per l'analisi dati e lo sviluppo di modelli collaborando strettamente con il team di ricerca.
Si interfaccia con stakeholders interni ed esterni, nazionali ed internazionali.
Svolge attività di implementazione e assistenza tecnico-scientifica, sulla base di procedure prestabilite e con responsabilità relative alla corretta esecuzione delle stesse.
Collabora alla presentazione di proposte progettuali.
In grado di gestire gruppi di lavoro.
Esperienza e formazione richiesta: esperienza di 3 anni nell'ambito del supporto alla ricerca, contributi a progetti di ricerca o sviluppo strumenti/soluzioni per la ricerca</t>
  </si>
  <si>
    <t>Progetta e analizza i dati, fornendo un contributo per il raggiungimento degli obiettivi dei progetti di ricerca.
Si interfaccia con gli stakeholder interni ed esterni.
Realizza attività di manutenzione e assistenza tecnica, produzione di software, prova e controlli, sulla base di procedure prestabilite e con responsabilità relative alla corretta esecuzione delle stesse.
Esperienza e Formazione Richiesta: Diploma o cultura pratica equivalente.</t>
  </si>
  <si>
    <t>Propone, elabora e coordina la gestione di attività e progetti di ricerca complessi, nazionali ed internazionali con l'obiettivo di migliorare le prestazioni, la produttività e la visibilità della ricerca dell'organizzazione. 
È in grado di:
•	rappresentare la Fondazione in consessi nazionali e internazionali e di valorizzare il network costruito negli anni;
•	valutare e definire politiche ed indirizzi di gestione;
•	incidere sulla definizione delle strategie scientifiche e delle priorità di ricerca;
•	divulgare i risultati della ricerca e diffondere i principi della scienza aperta.
Funge da mentore per il personale più junior.
Esperienza e formazione richiesta: diploma laurea ed esperienza di lavoro almeno 10 anni; visione strategica; rapporti con stakeholder alto livello.</t>
  </si>
  <si>
    <t>Gestisce autonomamente e/o coordina la gestione di portafogli di progetti di ricerca, nazionali ed internazionali con l'obiettivo di migliorare le prestazioni, la produttività e la visibilità della ricerca dell'organizzazione; valuta e definisce politiche ed indirizzi di gestione; sviluppa e valorizza collaborazioni internazionali e partnership. 
È in grado di:
-	coordinare più team di progetto;
-	guidare la formulazione di budget e la redazione di rendiconti;
-	sviluppare strategie di ricerca a lungo termine;
-	divulgare i risultati della ricerca e diffondere i principi della scienza aperta.
Funge da mentore per il personale più junior.
Esperienza e Formazione Richiesta: diploma laurea ed esperienza di lavoro di almeno 8 anni</t>
  </si>
  <si>
    <t>Collabora attivamente per migliorare i processi di gestione della ricerca, per la gestione di progetti di ricerca nazionali e internazionali e nella redazione dei rapporti di progetto; è in grado di utilizzare la maggior parte degli strumenti principali dell’attività di gestione; svolge attività con diversi livelli di complessità e con grado di responsabilità relativo alla correttezza complessiva delle procedure gestite.
In grado di:
-	applicare le migliori pratiche, 
-	supportare la gestione dei progetti e l'acquisizione di finanziamenti, 
-	coordinare progetti di ricerca di piccola/media dimensione,
-	supervisionare le attività;
-	relazionarsi con i team di progetto.
Esperienza e Formazione Richiesta: diploma laurea</t>
  </si>
  <si>
    <t>Milano - Via Savona</t>
  </si>
  <si>
    <t>23103110 - Milano Via Savona</t>
  </si>
  <si>
    <t>AFFILIATO (da oltre 24 mesi)</t>
  </si>
  <si>
    <t>Attenzione: da completare prima di firmare</t>
  </si>
  <si>
    <r>
      <t xml:space="preserve">Progetto di allocazione
</t>
    </r>
    <r>
      <rPr>
        <b/>
        <sz val="16"/>
        <color rgb="FFFF0000"/>
        <rFont val="Helvetica"/>
        <family val="2"/>
      </rPr>
      <t>Campo obbligatorio</t>
    </r>
  </si>
  <si>
    <t>REV 42</t>
  </si>
  <si>
    <t>FIRMA DEL DIRETTORE DI DIVISIONE (ove richiesto)</t>
  </si>
  <si>
    <t>FIRMA DEL DIRETTORE UNITÀ ORGANIZZATIVA</t>
  </si>
  <si>
    <t>Nome e Cognome Direttore di Divisione (ove richiesto)</t>
  </si>
  <si>
    <t>Nome e Cognome Direttore Unità Organizzativa</t>
  </si>
  <si>
    <t>24.12.2025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</si>
</sst>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#,##0.00\ &quot;€&quot;;[Red]\-#,##0.00\ &quot;€&quot;"/>
    <numFmt numFmtId="164" formatCode="_-&quot;€&quot;\ * #,##0.00_-;\-&quot;€&quot;\ * #,##0.00_-;_-&quot;€&quot;\ * &quot;-&quot;??_-;_-@_-"/>
    <numFmt numFmtId="165" formatCode="&quot;€&quot;\ #,##0.00"/>
    <numFmt numFmtId="166" formatCode="dd/mm/yy;@"/>
    <numFmt numFmtId="167" formatCode="#,##0.00\ &quot;€&quot;"/>
    <numFmt numFmtId="168" formatCode="_-* #,##0.00\ [$€-410]_-;\-* #,##0.00\ [$€-410]_-;_-* &quot;-&quot;??\ [$€-410]_-;_-@_-"/>
    <numFmt numFmtId="169" formatCode="[$€-2]\ #,##0.00;[Red]\-[$€-2]\ #,##0.00"/>
  </numFmts>
  <fonts count="43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0"/>
      <name val="Arial"/>
      <family val="2"/>
    </font>
    <font>
      <sz val="9"/>
      <name val="Arial Narrow"/>
      <family val="2"/>
    </font>
    <font>
      <sz val="11"/>
      <name val="Arial Narrow"/>
      <family val="2"/>
    </font>
    <font>
      <b/>
      <sz val="11"/>
      <name val="Arial Narrow"/>
      <family val="2"/>
    </font>
    <font>
      <sz val="8"/>
      <name val="Verdana"/>
      <family val="2"/>
    </font>
    <font>
      <b/>
      <sz val="20"/>
      <color indexed="8"/>
      <name val="Helvetica"/>
      <family val="2"/>
    </font>
    <font>
      <sz val="20"/>
      <color indexed="8"/>
      <name val="Helvetica"/>
      <family val="2"/>
    </font>
    <font>
      <b/>
      <sz val="20"/>
      <color indexed="10"/>
      <name val="Helvetica"/>
      <family val="2"/>
    </font>
    <font>
      <sz val="20"/>
      <color indexed="55"/>
      <name val="Helvetica"/>
      <family val="2"/>
    </font>
    <font>
      <b/>
      <sz val="20"/>
      <color indexed="9"/>
      <name val="Helvetica"/>
      <family val="2"/>
    </font>
    <font>
      <i/>
      <sz val="20"/>
      <color indexed="8"/>
      <name val="Helvetica"/>
      <family val="2"/>
    </font>
    <font>
      <sz val="20"/>
      <color indexed="9"/>
      <name val="Helvetica"/>
      <family val="2"/>
    </font>
    <font>
      <b/>
      <sz val="20"/>
      <name val="Helvetica"/>
      <family val="2"/>
    </font>
    <font>
      <sz val="20"/>
      <name val="Helvetica"/>
      <family val="2"/>
    </font>
    <font>
      <i/>
      <sz val="20"/>
      <color indexed="10"/>
      <name val="Helvetica"/>
      <family val="2"/>
    </font>
    <font>
      <i/>
      <sz val="20"/>
      <name val="Helvetica"/>
      <family val="2"/>
    </font>
    <font>
      <i/>
      <sz val="16"/>
      <color indexed="8"/>
      <name val="Helvetica"/>
      <family val="2"/>
    </font>
    <font>
      <b/>
      <sz val="24"/>
      <color indexed="8"/>
      <name val="Helvetica"/>
      <family val="2"/>
    </font>
    <font>
      <sz val="18"/>
      <color indexed="8"/>
      <name val="Helvetica"/>
      <family val="2"/>
    </font>
    <font>
      <sz val="11"/>
      <color theme="1"/>
      <name val="Arial Narrow"/>
      <family val="2"/>
    </font>
    <font>
      <sz val="12"/>
      <color rgb="FF000000"/>
      <name val="Helv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2"/>
      <color rgb="FF000000"/>
      <name val="Helvetica"/>
      <family val="2"/>
    </font>
    <font>
      <b/>
      <sz val="11"/>
      <color theme="1"/>
      <name val="Arial Narrow"/>
      <family val="2"/>
    </font>
    <font>
      <b/>
      <sz val="11"/>
      <color rgb="FFFF0000"/>
      <name val="Arial Narrow"/>
      <family val="2"/>
    </font>
    <font>
      <u/>
      <sz val="12"/>
      <color rgb="FF000000"/>
      <name val="Helv"/>
    </font>
    <font>
      <sz val="20"/>
      <color theme="0"/>
      <name val="Helvetica"/>
      <family val="2"/>
    </font>
    <font>
      <sz val="18"/>
      <color rgb="FFFF0000"/>
      <name val="Helvetica"/>
      <family val="2"/>
    </font>
    <font>
      <sz val="14"/>
      <color rgb="FFFF0000"/>
      <name val="Helvetica"/>
      <family val="2"/>
    </font>
    <font>
      <sz val="14"/>
      <color theme="0"/>
      <name val="Helvetica"/>
      <family val="2"/>
    </font>
    <font>
      <i/>
      <sz val="20"/>
      <color theme="0" tint="-0.249977111117893"/>
      <name val="Helvetica"/>
      <family val="2"/>
    </font>
    <font>
      <b/>
      <sz val="20"/>
      <color rgb="FFFF0000"/>
      <name val="Helvetica"/>
      <family val="2"/>
    </font>
    <font>
      <sz val="16"/>
      <color theme="9"/>
      <name val="Helvetica"/>
      <family val="2"/>
    </font>
    <font>
      <sz val="16"/>
      <color rgb="FFFF0000"/>
      <name val="Helvetica"/>
      <family val="2"/>
    </font>
    <font>
      <b/>
      <sz val="14"/>
      <color rgb="FFFF0000"/>
      <name val="Helvetica"/>
      <family val="2"/>
    </font>
    <font>
      <sz val="12"/>
      <color rgb="FF222222"/>
      <name val="Arial"/>
      <family val="2"/>
    </font>
    <font>
      <b/>
      <sz val="11"/>
      <color indexed="8"/>
      <name val="Helvetica"/>
      <family val="2"/>
    </font>
    <font>
      <sz val="11"/>
      <color indexed="8"/>
      <name val="Helvetica"/>
      <family val="2"/>
    </font>
    <font>
      <b/>
      <sz val="16"/>
      <color rgb="FFFF0000"/>
      <name val="Helvetica"/>
      <family val="2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43"/>
        <bgColor indexed="43"/>
      </patternFill>
    </fill>
    <fill>
      <patternFill patternType="solid">
        <fgColor indexed="56"/>
        <bgColor indexed="64"/>
      </patternFill>
    </fill>
    <fill>
      <patternFill patternType="solid">
        <fgColor rgb="FFFE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0"/>
        <bgColor indexed="43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theme="1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 tint="-0.499984740745262"/>
      </bottom>
      <diagonal/>
    </border>
  </borders>
  <cellStyleXfs count="5">
    <xf numFmtId="0" fontId="0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95">
    <xf numFmtId="0" fontId="0" fillId="0" borderId="0" xfId="0"/>
    <xf numFmtId="0" fontId="4" fillId="0" borderId="0" xfId="1" applyFont="1" applyAlignment="1">
      <alignment horizontal="left" vertical="center" wrapText="1"/>
    </xf>
    <xf numFmtId="0" fontId="4" fillId="0" borderId="0" xfId="1" applyFont="1" applyAlignment="1">
      <alignment vertical="center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6" fillId="0" borderId="1" xfId="1" applyFont="1" applyBorder="1" applyAlignment="1" applyProtection="1">
      <alignment horizontal="center" vertical="center" wrapText="1"/>
      <protection hidden="1"/>
    </xf>
    <xf numFmtId="0" fontId="6" fillId="0" borderId="1" xfId="1" applyFont="1" applyBorder="1" applyAlignment="1" applyProtection="1">
      <alignment horizontal="center" vertical="center"/>
      <protection hidden="1"/>
    </xf>
    <xf numFmtId="0" fontId="6" fillId="2" borderId="1" xfId="1" applyFont="1" applyFill="1" applyBorder="1" applyAlignment="1" applyProtection="1">
      <alignment horizontal="center" vertical="center" wrapText="1"/>
      <protection hidden="1"/>
    </xf>
    <xf numFmtId="0" fontId="8" fillId="3" borderId="0" xfId="0" applyFont="1" applyFill="1" applyAlignment="1">
      <alignment wrapText="1"/>
    </xf>
    <xf numFmtId="0" fontId="9" fillId="3" borderId="0" xfId="0" applyFont="1" applyFill="1"/>
    <xf numFmtId="0" fontId="10" fillId="3" borderId="0" xfId="0" applyFont="1" applyFill="1"/>
    <xf numFmtId="0" fontId="8" fillId="3" borderId="0" xfId="0" applyFont="1" applyFill="1"/>
    <xf numFmtId="0" fontId="9" fillId="0" borderId="0" xfId="0" applyFont="1"/>
    <xf numFmtId="0" fontId="14" fillId="4" borderId="0" xfId="0" applyFont="1" applyFill="1"/>
    <xf numFmtId="0" fontId="14" fillId="4" borderId="0" xfId="0" applyFont="1" applyFill="1" applyAlignment="1">
      <alignment horizontal="center"/>
    </xf>
    <xf numFmtId="0" fontId="9" fillId="3" borderId="1" xfId="0" applyFont="1" applyFill="1" applyBorder="1" applyAlignment="1">
      <alignment horizontal="left" indent="1"/>
    </xf>
    <xf numFmtId="10" fontId="9" fillId="3" borderId="1" xfId="3" applyNumberFormat="1" applyFont="1" applyFill="1" applyBorder="1" applyProtection="1"/>
    <xf numFmtId="0" fontId="8" fillId="0" borderId="0" xfId="0" applyFont="1" applyAlignment="1">
      <alignment vertical="center"/>
    </xf>
    <xf numFmtId="10" fontId="9" fillId="3" borderId="1" xfId="0" applyNumberFormat="1" applyFont="1" applyFill="1" applyBorder="1"/>
    <xf numFmtId="10" fontId="9" fillId="3" borderId="0" xfId="0" applyNumberFormat="1" applyFont="1" applyFill="1"/>
    <xf numFmtId="0" fontId="8" fillId="0" borderId="0" xfId="0" applyFont="1"/>
    <xf numFmtId="0" fontId="9" fillId="3" borderId="0" xfId="0" applyFont="1" applyFill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2" xfId="0" applyFont="1" applyBorder="1" applyAlignment="1">
      <alignment vertical="center"/>
    </xf>
    <xf numFmtId="0" fontId="13" fillId="3" borderId="0" xfId="0" applyFont="1" applyFill="1"/>
    <xf numFmtId="0" fontId="13" fillId="0" borderId="0" xfId="0" applyFont="1"/>
    <xf numFmtId="0" fontId="16" fillId="0" borderId="0" xfId="0" applyFont="1"/>
    <xf numFmtId="0" fontId="9" fillId="0" borderId="2" xfId="0" applyFont="1" applyBorder="1"/>
    <xf numFmtId="0" fontId="17" fillId="0" borderId="2" xfId="0" applyFont="1" applyBorder="1"/>
    <xf numFmtId="0" fontId="16" fillId="2" borderId="0" xfId="0" applyFont="1" applyFill="1" applyAlignment="1">
      <alignment vertical="top" wrapText="1"/>
    </xf>
    <xf numFmtId="4" fontId="9" fillId="0" borderId="0" xfId="0" applyNumberFormat="1" applyFont="1"/>
    <xf numFmtId="0" fontId="9" fillId="2" borderId="0" xfId="0" applyFont="1" applyFill="1"/>
    <xf numFmtId="0" fontId="9" fillId="5" borderId="3" xfId="0" applyFont="1" applyFill="1" applyBorder="1"/>
    <xf numFmtId="0" fontId="9" fillId="5" borderId="0" xfId="0" applyFont="1" applyFill="1"/>
    <xf numFmtId="0" fontId="9" fillId="3" borderId="0" xfId="0" applyFont="1" applyFill="1" applyAlignment="1">
      <alignment vertical="center" wrapText="1"/>
    </xf>
    <xf numFmtId="0" fontId="8" fillId="5" borderId="0" xfId="0" applyFont="1" applyFill="1"/>
    <xf numFmtId="0" fontId="13" fillId="5" borderId="0" xfId="0" applyFont="1" applyFill="1" applyAlignment="1">
      <alignment horizontal="center"/>
    </xf>
    <xf numFmtId="0" fontId="9" fillId="0" borderId="0" xfId="0" applyFont="1" applyProtection="1">
      <protection locked="0"/>
    </xf>
    <xf numFmtId="165" fontId="9" fillId="5" borderId="0" xfId="0" applyNumberFormat="1" applyFont="1" applyFill="1"/>
    <xf numFmtId="9" fontId="9" fillId="6" borderId="0" xfId="3" applyFont="1" applyFill="1" applyBorder="1" applyAlignment="1" applyProtection="1"/>
    <xf numFmtId="0" fontId="9" fillId="0" borderId="0" xfId="0" applyFont="1" applyAlignment="1">
      <alignment horizontal="right"/>
    </xf>
    <xf numFmtId="0" fontId="9" fillId="5" borderId="4" xfId="0" applyFont="1" applyFill="1" applyBorder="1"/>
    <xf numFmtId="165" fontId="9" fillId="5" borderId="4" xfId="0" applyNumberFormat="1" applyFont="1" applyFill="1" applyBorder="1"/>
    <xf numFmtId="0" fontId="18" fillId="0" borderId="0" xfId="0" applyFont="1" applyAlignment="1">
      <alignment vertical="top"/>
    </xf>
    <xf numFmtId="0" fontId="11" fillId="2" borderId="0" xfId="0" applyFont="1" applyFill="1" applyAlignment="1">
      <alignment horizontal="center"/>
    </xf>
    <xf numFmtId="9" fontId="9" fillId="6" borderId="5" xfId="3" applyFont="1" applyFill="1" applyBorder="1" applyAlignment="1" applyProtection="1"/>
    <xf numFmtId="0" fontId="9" fillId="5" borderId="0" xfId="0" applyFont="1" applyFill="1" applyAlignment="1">
      <alignment horizontal="center"/>
    </xf>
    <xf numFmtId="167" fontId="9" fillId="5" borderId="4" xfId="0" applyNumberFormat="1" applyFont="1" applyFill="1" applyBorder="1"/>
    <xf numFmtId="0" fontId="9" fillId="7" borderId="0" xfId="0" applyFont="1" applyFill="1"/>
    <xf numFmtId="165" fontId="9" fillId="7" borderId="0" xfId="0" applyNumberFormat="1" applyFont="1" applyFill="1"/>
    <xf numFmtId="0" fontId="9" fillId="6" borderId="0" xfId="0" applyFont="1" applyFill="1"/>
    <xf numFmtId="0" fontId="21" fillId="0" borderId="0" xfId="0" applyFont="1"/>
    <xf numFmtId="0" fontId="9" fillId="0" borderId="0" xfId="0" applyFont="1" applyAlignment="1" applyProtection="1">
      <alignment horizontal="center" vertical="center"/>
      <protection locked="0"/>
    </xf>
    <xf numFmtId="0" fontId="22" fillId="0" borderId="1" xfId="1" applyFont="1" applyBorder="1" applyAlignment="1" applyProtection="1">
      <alignment horizontal="justify" vertical="center" wrapText="1"/>
      <protection hidden="1"/>
    </xf>
    <xf numFmtId="0" fontId="22" fillId="0" borderId="1" xfId="1" applyFont="1" applyBorder="1" applyAlignment="1" applyProtection="1">
      <alignment horizontal="left" vertical="center" wrapText="1"/>
      <protection hidden="1"/>
    </xf>
    <xf numFmtId="0" fontId="12" fillId="4" borderId="6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9" fontId="9" fillId="0" borderId="0" xfId="3" applyFont="1" applyFill="1" applyBorder="1" applyAlignment="1" applyProtection="1">
      <alignment horizontal="center"/>
      <protection locked="0"/>
    </xf>
    <xf numFmtId="0" fontId="16" fillId="6" borderId="0" xfId="0" applyFont="1" applyFill="1" applyAlignment="1">
      <alignment horizontal="center" vertical="center"/>
    </xf>
    <xf numFmtId="0" fontId="9" fillId="0" borderId="0" xfId="0" applyFont="1" applyAlignment="1" applyProtection="1">
      <alignment vertical="center"/>
      <protection locked="0"/>
    </xf>
    <xf numFmtId="164" fontId="9" fillId="0" borderId="0" xfId="4" applyFont="1" applyFill="1" applyBorder="1" applyAlignment="1" applyProtection="1">
      <protection locked="0"/>
    </xf>
    <xf numFmtId="9" fontId="9" fillId="0" borderId="0" xfId="3" applyFont="1" applyFill="1" applyBorder="1" applyAlignment="1" applyProtection="1"/>
    <xf numFmtId="0" fontId="8" fillId="0" borderId="0" xfId="0" applyFont="1" applyAlignment="1">
      <alignment horizontal="center"/>
    </xf>
    <xf numFmtId="0" fontId="27" fillId="0" borderId="0" xfId="1" applyFont="1" applyAlignment="1" applyProtection="1">
      <alignment horizontal="center" vertical="center" wrapText="1"/>
      <protection hidden="1"/>
    </xf>
    <xf numFmtId="0" fontId="28" fillId="0" borderId="0" xfId="1" applyFont="1" applyAlignment="1" applyProtection="1">
      <alignment horizontal="center" vertical="center" wrapText="1"/>
      <protection hidden="1"/>
    </xf>
    <xf numFmtId="0" fontId="6" fillId="0" borderId="0" xfId="1" applyFont="1" applyAlignment="1" applyProtection="1">
      <alignment horizontal="center" vertical="center" wrapText="1"/>
      <protection hidden="1"/>
    </xf>
    <xf numFmtId="0" fontId="9" fillId="0" borderId="0" xfId="0" applyFont="1" applyAlignment="1">
      <alignment horizontal="left"/>
    </xf>
    <xf numFmtId="9" fontId="9" fillId="11" borderId="5" xfId="3" applyFont="1" applyFill="1" applyBorder="1" applyAlignment="1" applyProtection="1">
      <protection locked="0"/>
    </xf>
    <xf numFmtId="2" fontId="9" fillId="3" borderId="1" xfId="0" applyNumberFormat="1" applyFont="1" applyFill="1" applyBorder="1" applyAlignment="1">
      <alignment horizontal="left" indent="1"/>
    </xf>
    <xf numFmtId="0" fontId="30" fillId="0" borderId="0" xfId="0" applyFont="1" applyAlignment="1" applyProtection="1">
      <alignment horizontal="left"/>
      <protection locked="0"/>
    </xf>
    <xf numFmtId="9" fontId="9" fillId="12" borderId="0" xfId="3" applyFont="1" applyFill="1" applyBorder="1" applyAlignment="1" applyProtection="1">
      <protection locked="0"/>
    </xf>
    <xf numFmtId="0" fontId="19" fillId="0" borderId="0" xfId="0" applyFont="1"/>
    <xf numFmtId="0" fontId="9" fillId="0" borderId="0" xfId="0" applyFont="1" applyAlignment="1">
      <alignment wrapText="1"/>
    </xf>
    <xf numFmtId="0" fontId="9" fillId="0" borderId="12" xfId="0" applyFont="1" applyBorder="1"/>
    <xf numFmtId="0" fontId="9" fillId="0" borderId="11" xfId="0" applyFont="1" applyBorder="1"/>
    <xf numFmtId="0" fontId="9" fillId="0" borderId="13" xfId="0" applyFont="1" applyBorder="1"/>
    <xf numFmtId="0" fontId="9" fillId="12" borderId="0" xfId="0" applyFont="1" applyFill="1" applyProtection="1">
      <protection locked="0"/>
    </xf>
    <xf numFmtId="0" fontId="16" fillId="6" borderId="0" xfId="0" applyFont="1" applyFill="1" applyAlignment="1">
      <alignment vertical="center"/>
    </xf>
    <xf numFmtId="164" fontId="9" fillId="12" borderId="0" xfId="0" applyNumberFormat="1" applyFont="1" applyFill="1"/>
    <xf numFmtId="0" fontId="33" fillId="0" borderId="25" xfId="0" applyFont="1" applyBorder="1" applyAlignment="1">
      <alignment horizontal="left" vertical="top"/>
    </xf>
    <xf numFmtId="165" fontId="8" fillId="12" borderId="0" xfId="0" applyNumberFormat="1" applyFont="1" applyFill="1" applyAlignment="1">
      <alignment vertical="center"/>
    </xf>
    <xf numFmtId="0" fontId="9" fillId="12" borderId="0" xfId="0" applyFont="1" applyFill="1"/>
    <xf numFmtId="0" fontId="37" fillId="0" borderId="0" xfId="0" applyFont="1"/>
    <xf numFmtId="0" fontId="39" fillId="0" borderId="0" xfId="0" applyFont="1"/>
    <xf numFmtId="0" fontId="9" fillId="14" borderId="0" xfId="0" applyFont="1" applyFill="1" applyAlignment="1" applyProtection="1">
      <alignment vertical="center"/>
      <protection locked="0"/>
    </xf>
    <xf numFmtId="0" fontId="5" fillId="0" borderId="1" xfId="1" applyFont="1" applyBorder="1" applyAlignment="1" applyProtection="1">
      <alignment horizontal="justify" vertical="center" wrapText="1"/>
      <protection hidden="1"/>
    </xf>
    <xf numFmtId="169" fontId="41" fillId="0" borderId="29" xfId="0" applyNumberFormat="1" applyFont="1" applyBorder="1" applyAlignment="1">
      <alignment horizontal="center" vertical="center" wrapText="1"/>
    </xf>
    <xf numFmtId="8" fontId="41" fillId="0" borderId="28" xfId="0" applyNumberFormat="1" applyFont="1" applyBorder="1" applyAlignment="1">
      <alignment horizontal="center" vertical="center" wrapText="1"/>
    </xf>
    <xf numFmtId="0" fontId="41" fillId="0" borderId="28" xfId="0" applyFont="1" applyBorder="1" applyAlignment="1">
      <alignment horizontal="center" vertical="center" wrapText="1"/>
    </xf>
    <xf numFmtId="169" fontId="41" fillId="0" borderId="30" xfId="0" applyNumberFormat="1" applyFont="1" applyBorder="1" applyAlignment="1">
      <alignment horizontal="center" vertical="center" wrapText="1"/>
    </xf>
    <xf numFmtId="8" fontId="41" fillId="0" borderId="31" xfId="0" applyNumberFormat="1" applyFont="1" applyBorder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169" fontId="41" fillId="0" borderId="31" xfId="0" applyNumberFormat="1" applyFont="1" applyBorder="1" applyAlignment="1">
      <alignment horizontal="center" vertical="center" wrapText="1"/>
    </xf>
    <xf numFmtId="0" fontId="40" fillId="0" borderId="1" xfId="0" applyFont="1" applyBorder="1" applyAlignment="1">
      <alignment vertical="center"/>
    </xf>
    <xf numFmtId="0" fontId="40" fillId="0" borderId="1" xfId="0" applyFont="1" applyBorder="1"/>
    <xf numFmtId="0" fontId="9" fillId="0" borderId="0" xfId="0" applyFont="1" applyAlignment="1">
      <alignment horizontal="right" vertical="center"/>
    </xf>
    <xf numFmtId="0" fontId="9" fillId="12" borderId="0" xfId="0" applyFont="1" applyFill="1" applyAlignment="1">
      <alignment vertical="center"/>
    </xf>
    <xf numFmtId="0" fontId="9" fillId="12" borderId="0" xfId="0" applyFont="1" applyFill="1" applyAlignment="1">
      <alignment horizontal="right" vertical="center"/>
    </xf>
    <xf numFmtId="0" fontId="9" fillId="11" borderId="11" xfId="0" applyFont="1" applyFill="1" applyBorder="1" applyAlignment="1" applyProtection="1">
      <alignment horizontal="center" shrinkToFit="1"/>
      <protection locked="0"/>
    </xf>
    <xf numFmtId="0" fontId="9" fillId="11" borderId="12" xfId="0" applyFont="1" applyFill="1" applyBorder="1" applyAlignment="1" applyProtection="1">
      <alignment horizontal="center" shrinkToFit="1"/>
      <protection locked="0"/>
    </xf>
    <xf numFmtId="0" fontId="9" fillId="11" borderId="13" xfId="0" applyFont="1" applyFill="1" applyBorder="1" applyAlignment="1" applyProtection="1">
      <alignment horizontal="center" shrinkToFit="1"/>
      <protection locked="0"/>
    </xf>
    <xf numFmtId="0" fontId="9" fillId="11" borderId="6" xfId="0" applyFont="1" applyFill="1" applyBorder="1" applyAlignment="1" applyProtection="1">
      <alignment horizontal="center" shrinkToFit="1"/>
      <protection locked="0"/>
    </xf>
    <xf numFmtId="0" fontId="9" fillId="11" borderId="0" xfId="0" applyFont="1" applyFill="1" applyAlignment="1" applyProtection="1">
      <alignment horizontal="center" shrinkToFit="1"/>
      <protection locked="0"/>
    </xf>
    <xf numFmtId="0" fontId="9" fillId="11" borderId="10" xfId="0" applyFont="1" applyFill="1" applyBorder="1" applyAlignment="1" applyProtection="1">
      <alignment horizontal="center" shrinkToFit="1"/>
      <protection locked="0"/>
    </xf>
    <xf numFmtId="0" fontId="9" fillId="11" borderId="14" xfId="0" applyFont="1" applyFill="1" applyBorder="1" applyAlignment="1" applyProtection="1">
      <alignment horizontal="center" shrinkToFit="1"/>
      <protection locked="0"/>
    </xf>
    <xf numFmtId="0" fontId="9" fillId="11" borderId="4" xfId="0" applyFont="1" applyFill="1" applyBorder="1" applyAlignment="1" applyProtection="1">
      <alignment horizontal="center" shrinkToFit="1"/>
      <protection locked="0"/>
    </xf>
    <xf numFmtId="0" fontId="9" fillId="11" borderId="15" xfId="0" applyFont="1" applyFill="1" applyBorder="1" applyAlignment="1" applyProtection="1">
      <alignment horizontal="center" shrinkToFit="1"/>
      <protection locked="0"/>
    </xf>
    <xf numFmtId="0" fontId="9" fillId="9" borderId="0" xfId="0" applyFont="1" applyFill="1" applyAlignment="1" applyProtection="1">
      <alignment horizontal="center" vertical="center"/>
      <protection locked="0"/>
    </xf>
    <xf numFmtId="9" fontId="9" fillId="0" borderId="0" xfId="3" applyFont="1" applyFill="1" applyBorder="1" applyAlignment="1" applyProtection="1">
      <alignment horizontal="center"/>
      <protection locked="0"/>
    </xf>
    <xf numFmtId="0" fontId="9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 wrapText="1"/>
    </xf>
    <xf numFmtId="0" fontId="35" fillId="0" borderId="0" xfId="0" applyFont="1" applyAlignment="1">
      <alignment horizontal="center"/>
    </xf>
    <xf numFmtId="9" fontId="9" fillId="11" borderId="5" xfId="3" applyFont="1" applyFill="1" applyBorder="1" applyAlignment="1" applyProtection="1">
      <alignment horizontal="center"/>
    </xf>
    <xf numFmtId="0" fontId="9" fillId="0" borderId="0" xfId="0" applyFont="1" applyAlignment="1">
      <alignment horizontal="center"/>
    </xf>
    <xf numFmtId="164" fontId="30" fillId="0" borderId="0" xfId="4" applyFont="1" applyFill="1" applyBorder="1" applyAlignment="1" applyProtection="1">
      <alignment horizontal="center"/>
      <protection locked="0"/>
    </xf>
    <xf numFmtId="0" fontId="34" fillId="0" borderId="0" xfId="0" applyFont="1" applyAlignment="1" applyProtection="1">
      <alignment horizontal="left" vertical="top" wrapText="1"/>
      <protection locked="0"/>
    </xf>
    <xf numFmtId="0" fontId="9" fillId="12" borderId="0" xfId="0" applyFont="1" applyFill="1" applyAlignment="1">
      <alignment horizontal="center"/>
    </xf>
    <xf numFmtId="0" fontId="9" fillId="0" borderId="0" xfId="0" applyFont="1" applyAlignment="1">
      <alignment horizontal="left" vertical="center"/>
    </xf>
    <xf numFmtId="0" fontId="9" fillId="11" borderId="0" xfId="0" quotePrefix="1" applyFont="1" applyFill="1" applyAlignment="1" applyProtection="1">
      <alignment horizontal="center" vertical="center" wrapText="1"/>
      <protection locked="0"/>
    </xf>
    <xf numFmtId="0" fontId="9" fillId="11" borderId="0" xfId="0" applyFont="1" applyFill="1" applyAlignment="1" applyProtection="1">
      <alignment horizontal="center" vertical="center" wrapText="1"/>
      <protection locked="0"/>
    </xf>
    <xf numFmtId="0" fontId="9" fillId="11" borderId="5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>
      <alignment horizontal="left" vertical="center" wrapText="1"/>
    </xf>
    <xf numFmtId="166" fontId="9" fillId="8" borderId="5" xfId="0" applyNumberFormat="1" applyFont="1" applyFill="1" applyBorder="1" applyAlignment="1" applyProtection="1">
      <alignment horizontal="center"/>
      <protection locked="0"/>
    </xf>
    <xf numFmtId="0" fontId="9" fillId="8" borderId="5" xfId="0" applyFont="1" applyFill="1" applyBorder="1" applyAlignment="1">
      <alignment horizontal="center"/>
    </xf>
    <xf numFmtId="0" fontId="9" fillId="0" borderId="0" xfId="0" applyFont="1" applyAlignment="1" applyProtection="1">
      <alignment horizontal="center" vertical="center"/>
      <protection locked="0"/>
    </xf>
    <xf numFmtId="0" fontId="12" fillId="4" borderId="6" xfId="0" applyFont="1" applyFill="1" applyBorder="1" applyAlignment="1">
      <alignment horizontal="center"/>
    </xf>
    <xf numFmtId="0" fontId="12" fillId="4" borderId="0" xfId="0" applyFont="1" applyFill="1" applyAlignment="1">
      <alignment horizontal="center"/>
    </xf>
    <xf numFmtId="0" fontId="9" fillId="8" borderId="5" xfId="0" applyFont="1" applyFill="1" applyBorder="1" applyAlignment="1" applyProtection="1">
      <alignment horizontal="center"/>
      <protection locked="0"/>
    </xf>
    <xf numFmtId="0" fontId="9" fillId="8" borderId="5" xfId="0" applyFont="1" applyFill="1" applyBorder="1" applyAlignment="1" applyProtection="1">
      <alignment horizontal="center" vertical="center"/>
      <protection locked="0"/>
    </xf>
    <xf numFmtId="0" fontId="9" fillId="5" borderId="3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9" fillId="12" borderId="0" xfId="0" applyFont="1" applyFill="1" applyAlignment="1" applyProtection="1">
      <alignment horizontal="center"/>
      <protection locked="0"/>
    </xf>
    <xf numFmtId="164" fontId="9" fillId="12" borderId="0" xfId="4" applyFont="1" applyFill="1" applyBorder="1" applyAlignment="1" applyProtection="1">
      <alignment horizontal="center"/>
      <protection locked="0"/>
    </xf>
    <xf numFmtId="9" fontId="9" fillId="11" borderId="23" xfId="3" applyFont="1" applyFill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left" vertical="center"/>
      <protection hidden="1"/>
    </xf>
    <xf numFmtId="0" fontId="9" fillId="11" borderId="5" xfId="0" applyFont="1" applyFill="1" applyBorder="1" applyAlignment="1" applyProtection="1">
      <alignment horizontal="center"/>
      <protection locked="0"/>
    </xf>
    <xf numFmtId="164" fontId="9" fillId="11" borderId="5" xfId="4" applyFont="1" applyFill="1" applyBorder="1" applyAlignment="1" applyProtection="1">
      <alignment horizontal="center"/>
      <protection locked="0"/>
    </xf>
    <xf numFmtId="0" fontId="9" fillId="9" borderId="5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right" vertical="center"/>
    </xf>
    <xf numFmtId="0" fontId="36" fillId="0" borderId="0" xfId="0" applyFont="1" applyAlignment="1">
      <alignment horizontal="left" vertical="center" wrapText="1"/>
    </xf>
    <xf numFmtId="0" fontId="9" fillId="12" borderId="0" xfId="0" applyFont="1" applyFill="1" applyAlignment="1" applyProtection="1">
      <alignment horizontal="center" vertical="center"/>
      <protection locked="0"/>
    </xf>
    <xf numFmtId="0" fontId="21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left"/>
    </xf>
    <xf numFmtId="0" fontId="9" fillId="12" borderId="32" xfId="0" applyFont="1" applyFill="1" applyBorder="1" applyAlignment="1" applyProtection="1">
      <alignment horizontal="center"/>
      <protection locked="0"/>
    </xf>
    <xf numFmtId="0" fontId="9" fillId="0" borderId="2" xfId="0" applyFont="1" applyBorder="1" applyAlignment="1">
      <alignment horizontal="center"/>
    </xf>
    <xf numFmtId="0" fontId="9" fillId="11" borderId="16" xfId="0" applyFont="1" applyFill="1" applyBorder="1" applyAlignment="1" applyProtection="1">
      <alignment horizontal="center" vertical="center" wrapText="1"/>
      <protection locked="0"/>
    </xf>
    <xf numFmtId="0" fontId="9" fillId="11" borderId="17" xfId="0" applyFont="1" applyFill="1" applyBorder="1" applyAlignment="1" applyProtection="1">
      <alignment horizontal="center" vertical="center" wrapText="1"/>
      <protection locked="0"/>
    </xf>
    <xf numFmtId="0" fontId="9" fillId="11" borderId="18" xfId="0" applyFont="1" applyFill="1" applyBorder="1" applyAlignment="1" applyProtection="1">
      <alignment horizontal="center" vertical="center" wrapText="1"/>
      <protection locked="0"/>
    </xf>
    <xf numFmtId="0" fontId="9" fillId="11" borderId="19" xfId="0" applyFont="1" applyFill="1" applyBorder="1" applyAlignment="1" applyProtection="1">
      <alignment horizontal="center" vertical="center" wrapText="1"/>
      <protection locked="0"/>
    </xf>
    <xf numFmtId="0" fontId="9" fillId="11" borderId="9" xfId="0" applyFont="1" applyFill="1" applyBorder="1" applyAlignment="1" applyProtection="1">
      <alignment horizontal="center" vertical="center" wrapText="1"/>
      <protection locked="0"/>
    </xf>
    <xf numFmtId="0" fontId="9" fillId="11" borderId="20" xfId="0" applyFont="1" applyFill="1" applyBorder="1" applyAlignment="1" applyProtection="1">
      <alignment horizontal="center" vertical="center" wrapText="1"/>
      <protection locked="0"/>
    </xf>
    <xf numFmtId="0" fontId="9" fillId="11" borderId="21" xfId="0" applyFont="1" applyFill="1" applyBorder="1" applyAlignment="1" applyProtection="1">
      <alignment horizontal="center" vertical="center" wrapText="1"/>
      <protection locked="0"/>
    </xf>
    <xf numFmtId="0" fontId="9" fillId="12" borderId="32" xfId="0" applyFont="1" applyFill="1" applyBorder="1" applyAlignment="1" applyProtection="1">
      <alignment horizontal="center" vertical="center"/>
      <protection locked="0"/>
    </xf>
    <xf numFmtId="0" fontId="8" fillId="3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15" fillId="8" borderId="5" xfId="0" applyFont="1" applyFill="1" applyBorder="1" applyAlignment="1" applyProtection="1">
      <alignment horizontal="left"/>
      <protection locked="0"/>
    </xf>
    <xf numFmtId="0" fontId="8" fillId="0" borderId="0" xfId="0" applyFont="1" applyAlignment="1">
      <alignment horizontal="left" vertical="center"/>
    </xf>
    <xf numFmtId="0" fontId="9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37" fillId="0" borderId="0" xfId="0" applyFont="1" applyAlignment="1">
      <alignment horizontal="left" vertical="center" wrapText="1"/>
    </xf>
    <xf numFmtId="165" fontId="8" fillId="11" borderId="26" xfId="0" applyNumberFormat="1" applyFont="1" applyFill="1" applyBorder="1" applyAlignment="1">
      <alignment horizontal="center" vertical="center"/>
    </xf>
    <xf numFmtId="165" fontId="8" fillId="11" borderId="27" xfId="0" applyNumberFormat="1" applyFont="1" applyFill="1" applyBorder="1" applyAlignment="1">
      <alignment horizontal="center" vertical="center"/>
    </xf>
    <xf numFmtId="165" fontId="8" fillId="11" borderId="28" xfId="0" applyNumberFormat="1" applyFont="1" applyFill="1" applyBorder="1" applyAlignment="1">
      <alignment horizontal="center" vertical="center"/>
    </xf>
    <xf numFmtId="9" fontId="9" fillId="0" borderId="0" xfId="3" applyFont="1" applyFill="1" applyBorder="1" applyAlignment="1" applyProtection="1">
      <alignment horizontal="left"/>
      <protection locked="0"/>
    </xf>
    <xf numFmtId="168" fontId="9" fillId="11" borderId="5" xfId="4" applyNumberFormat="1" applyFont="1" applyFill="1" applyBorder="1" applyAlignment="1" applyProtection="1">
      <alignment horizontal="center"/>
      <protection locked="0"/>
    </xf>
    <xf numFmtId="0" fontId="33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12" borderId="0" xfId="0" applyFont="1" applyFill="1" applyAlignment="1">
      <alignment horizontal="left" vertical="center"/>
    </xf>
    <xf numFmtId="0" fontId="16" fillId="12" borderId="32" xfId="0" applyFont="1" applyFill="1" applyBorder="1" applyAlignment="1" applyProtection="1">
      <alignment horizontal="center" vertical="center"/>
      <protection locked="0"/>
    </xf>
    <xf numFmtId="0" fontId="35" fillId="0" borderId="0" xfId="0" applyFont="1" applyAlignment="1">
      <alignment horizontal="center" vertical="center" wrapText="1"/>
    </xf>
    <xf numFmtId="0" fontId="32" fillId="0" borderId="24" xfId="0" applyFont="1" applyBorder="1" applyAlignment="1">
      <alignment horizontal="center" wrapText="1"/>
    </xf>
    <xf numFmtId="0" fontId="32" fillId="0" borderId="0" xfId="0" applyFont="1" applyAlignment="1">
      <alignment horizontal="center" wrapText="1"/>
    </xf>
    <xf numFmtId="0" fontId="31" fillId="0" borderId="0" xfId="0" applyFont="1" applyAlignment="1">
      <alignment horizontal="left"/>
    </xf>
    <xf numFmtId="0" fontId="9" fillId="0" borderId="9" xfId="0" applyFont="1" applyBorder="1" applyAlignment="1">
      <alignment horizontal="left" vertical="center"/>
    </xf>
    <xf numFmtId="9" fontId="9" fillId="13" borderId="0" xfId="3" applyFont="1" applyFill="1" applyBorder="1" applyAlignment="1">
      <alignment horizontal="center"/>
    </xf>
    <xf numFmtId="165" fontId="8" fillId="12" borderId="0" xfId="0" applyNumberFormat="1" applyFont="1" applyFill="1" applyAlignment="1" applyProtection="1">
      <alignment horizontal="center" vertical="center"/>
      <protection locked="0"/>
    </xf>
    <xf numFmtId="0" fontId="16" fillId="6" borderId="0" xfId="0" applyFont="1" applyFill="1" applyAlignment="1">
      <alignment horizontal="center" vertical="center"/>
    </xf>
    <xf numFmtId="168" fontId="9" fillId="11" borderId="4" xfId="4" applyNumberFormat="1" applyFont="1" applyFill="1" applyBorder="1" applyAlignment="1" applyProtection="1">
      <alignment horizontal="center"/>
      <protection locked="0"/>
    </xf>
    <xf numFmtId="0" fontId="5" fillId="0" borderId="3" xfId="1" applyFont="1" applyBorder="1" applyAlignment="1" applyProtection="1">
      <alignment horizontal="justify" vertical="justify" wrapText="1"/>
      <protection hidden="1"/>
    </xf>
    <xf numFmtId="0" fontId="5" fillId="0" borderId="7" xfId="1" applyFont="1" applyBorder="1" applyAlignment="1" applyProtection="1">
      <alignment horizontal="justify" vertical="justify" wrapText="1"/>
      <protection hidden="1"/>
    </xf>
    <xf numFmtId="0" fontId="5" fillId="0" borderId="8" xfId="1" applyFont="1" applyBorder="1" applyAlignment="1" applyProtection="1">
      <alignment horizontal="justify" vertical="justify" wrapText="1"/>
      <protection hidden="1"/>
    </xf>
    <xf numFmtId="0" fontId="2" fillId="10" borderId="22" xfId="1" applyFont="1" applyFill="1" applyBorder="1" applyAlignment="1">
      <alignment horizontal="center" vertical="center"/>
    </xf>
  </cellXfs>
  <cellStyles count="5">
    <cellStyle name="Excel Built-in Normal" xfId="1" xr:uid="{00000000-0005-0000-0000-000000000000}"/>
    <cellStyle name="Normale" xfId="0" builtinId="0"/>
    <cellStyle name="Normale 2" xfId="2" xr:uid="{00000000-0005-0000-0000-000002000000}"/>
    <cellStyle name="Percentuale" xfId="3" builtinId="5"/>
    <cellStyle name="Valuta" xfId="4" builtinId="4"/>
  </cellStyles>
  <dxfs count="35">
    <dxf>
      <fill>
        <patternFill>
          <bgColor rgb="FFFEFF99"/>
        </patternFill>
      </fill>
      <border>
        <left/>
        <right/>
        <top/>
        <bottom style="hair">
          <color auto="1"/>
        </bottom>
        <vertical/>
        <horizontal/>
      </border>
    </dxf>
    <dxf>
      <fill>
        <patternFill>
          <bgColor rgb="FFFEFF99"/>
        </patternFill>
      </fill>
      <border>
        <left/>
        <right/>
        <top/>
        <bottom style="hair">
          <color auto="1"/>
        </bottom>
        <vertical/>
        <horizontal/>
      </border>
    </dxf>
    <dxf>
      <fill>
        <patternFill>
          <bgColor rgb="FFFEFF99"/>
        </patternFill>
      </fill>
      <border>
        <bottom style="hair">
          <color theme="1"/>
        </bottom>
        <vertical/>
        <horizontal/>
      </border>
    </dxf>
    <dxf>
      <fill>
        <patternFill>
          <bgColor rgb="FFFEF48B"/>
        </patternFill>
      </fill>
      <border>
        <bottom style="hair">
          <color auto="1"/>
        </bottom>
        <vertical/>
        <horizontal/>
      </border>
    </dxf>
    <dxf>
      <fill>
        <patternFill>
          <bgColor rgb="FFFEFF99"/>
        </patternFill>
      </fill>
      <border>
        <vertical/>
        <horizontal/>
      </border>
    </dxf>
    <dxf>
      <fill>
        <patternFill>
          <bgColor rgb="FFFEFF99"/>
        </patternFill>
      </fill>
      <border>
        <left/>
        <right/>
        <top/>
        <bottom style="hair">
          <color auto="1"/>
        </bottom>
        <vertical/>
        <horizontal/>
      </border>
    </dxf>
    <dxf>
      <font>
        <color indexed="9"/>
      </font>
      <fill>
        <patternFill>
          <bgColor indexed="9"/>
        </patternFill>
      </fill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ill>
        <patternFill>
          <bgColor rgb="FFFEFF99"/>
        </patternFill>
      </fill>
      <border>
        <left/>
        <right/>
        <top/>
        <bottom style="hair">
          <color auto="1"/>
        </bottom>
        <vertical/>
        <horizontal/>
      </border>
    </dxf>
    <dxf>
      <fill>
        <patternFill>
          <bgColor rgb="FFFEFF99"/>
        </patternFill>
      </fill>
      <border>
        <left/>
        <right/>
        <top/>
        <bottom style="hair">
          <color auto="1"/>
        </bottom>
        <vertical/>
        <horizontal/>
      </border>
    </dxf>
    <dxf>
      <font>
        <color indexed="9"/>
      </font>
      <fill>
        <patternFill>
          <bgColor indexed="9"/>
        </patternFill>
      </fill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ill>
        <patternFill>
          <fgColor rgb="FFFEFF99"/>
          <bgColor rgb="FFFEFF99"/>
        </patternFill>
      </fill>
      <border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fgColor theme="0"/>
          <bgColor theme="0"/>
        </patternFill>
      </fill>
      <border>
        <left/>
        <right/>
        <top/>
        <bottom/>
      </border>
    </dxf>
    <dxf>
      <font>
        <color theme="0"/>
      </font>
      <fill>
        <patternFill>
          <fgColor theme="0"/>
          <bgColor theme="0"/>
        </patternFill>
      </fill>
      <border>
        <left/>
        <right/>
        <top/>
        <bottom/>
      </border>
    </dxf>
    <dxf>
      <font>
        <color auto="1"/>
      </font>
      <fill>
        <patternFill>
          <bgColor rgb="FFFEFF99"/>
        </patternFill>
      </fill>
      <border>
        <bottom style="hair">
          <color theme="1"/>
        </bottom>
        <vertical/>
        <horizontal/>
      </border>
    </dxf>
    <dxf>
      <fill>
        <patternFill>
          <bgColor rgb="FFFEFF99"/>
        </patternFill>
      </fill>
      <border>
        <left/>
        <right/>
        <top/>
        <bottom style="hair">
          <color auto="1"/>
        </bottom>
        <vertical/>
        <horizontal/>
      </border>
    </dxf>
    <dxf>
      <fill>
        <patternFill>
          <bgColor rgb="FFFEFF99"/>
        </patternFill>
      </fill>
      <border>
        <left/>
        <right/>
        <top/>
        <bottom style="hair">
          <color auto="1"/>
        </bottom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ill>
        <patternFill>
          <bgColor rgb="FFFEFF99"/>
        </patternFill>
      </fill>
      <border>
        <left/>
        <right/>
        <top/>
        <bottom style="hair">
          <color auto="1"/>
        </bottom>
        <vertical/>
        <horizontal/>
      </border>
    </dxf>
    <dxf>
      <fill>
        <patternFill>
          <bgColor rgb="FFFEFF99"/>
        </patternFill>
      </fill>
      <border>
        <bottom style="hair">
          <color theme="1"/>
        </bottom>
        <vertical/>
        <horizontal/>
      </border>
    </dxf>
    <dxf>
      <fill>
        <patternFill>
          <bgColor rgb="FFFEFF99"/>
        </patternFill>
      </fill>
      <border>
        <bottom style="hair">
          <color theme="1"/>
        </bottom>
        <vertical/>
        <horizontal/>
      </border>
    </dxf>
    <dxf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strike val="0"/>
        <color theme="0"/>
      </font>
      <fill>
        <patternFill>
          <fgColor theme="0"/>
          <bgColor theme="0"/>
        </patternFill>
      </fill>
      <border>
        <left/>
        <right/>
        <top/>
        <bottom/>
        <vertical/>
        <horizontal/>
      </border>
    </dxf>
    <dxf>
      <fill>
        <patternFill>
          <bgColor rgb="FFFEFF99"/>
        </patternFill>
      </fill>
      <border>
        <left/>
        <right/>
        <top/>
        <bottom style="hair">
          <color auto="1"/>
        </bottom>
        <vertical/>
        <horizontal/>
      </border>
    </dxf>
    <dxf>
      <fill>
        <patternFill>
          <bgColor rgb="FFFEFF99"/>
        </patternFill>
      </fill>
      <border>
        <left/>
        <right/>
        <top/>
        <bottom style="hair">
          <color auto="1"/>
        </bottom>
        <vertical/>
        <horizontal/>
      </border>
    </dxf>
    <dxf>
      <font>
        <color indexed="9"/>
      </font>
      <fill>
        <patternFill>
          <bgColor indexed="9"/>
        </patternFill>
      </fill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color rgb="FF9C0006"/>
      </font>
    </dxf>
    <dxf>
      <fill>
        <patternFill>
          <bgColor theme="0"/>
        </patternFill>
      </fill>
      <border>
        <left/>
        <right/>
        <top/>
        <bottom/>
        <vertical/>
        <horizontal/>
      </border>
    </dxf>
    <dxf>
      <fill>
        <patternFill>
          <bgColor rgb="FFFEFF99"/>
        </patternFill>
      </fill>
      <border>
        <left/>
        <right/>
        <top/>
        <bottom style="hair">
          <color auto="1"/>
        </bottom>
        <vertical/>
        <horizontal/>
      </border>
    </dxf>
    <dxf>
      <font>
        <strike val="0"/>
        <color theme="0"/>
      </font>
      <fill>
        <patternFill>
          <fgColor theme="0"/>
          <bgColor theme="0"/>
        </patternFill>
      </fill>
      <border>
        <left/>
        <right/>
        <top/>
        <bottom/>
        <vertical/>
        <horizontal/>
      </border>
    </dxf>
    <dxf>
      <fill>
        <patternFill>
          <bgColor rgb="FFFEFF99"/>
        </patternFill>
      </fill>
      <border>
        <left/>
        <right/>
        <top/>
        <bottom style="hair">
          <color auto="1"/>
        </bottom>
        <vertical/>
        <horizontal/>
      </border>
    </dxf>
    <dxf>
      <fill>
        <patternFill>
          <bgColor rgb="FFFEFF99"/>
        </patternFill>
      </fill>
      <border>
        <left/>
        <right/>
        <top/>
        <bottom style="hair">
          <color auto="1"/>
        </bottom>
        <vertical/>
        <horizontal/>
      </border>
    </dxf>
    <dxf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indexed="8"/>
      </font>
      <fill>
        <patternFill patternType="none">
          <fgColor indexed="64"/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fgColor theme="0"/>
          <bgColor theme="0"/>
        </patternFill>
      </fill>
      <border>
        <left/>
        <right/>
        <top/>
        <bottom/>
      </border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EFF99"/>
      <color rgb="FFFEF48B"/>
      <color rgb="FFFFE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84665</xdr:colOff>
      <xdr:row>3</xdr:row>
      <xdr:rowOff>42333</xdr:rowOff>
    </xdr:from>
    <xdr:to>
      <xdr:col>6</xdr:col>
      <xdr:colOff>423333</xdr:colOff>
      <xdr:row>6</xdr:row>
      <xdr:rowOff>225778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BEE1FCBD-7710-6D8C-F6E4-9FD0AD6D0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9165" y="994833"/>
          <a:ext cx="2921001" cy="1135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48647</xdr:colOff>
      <xdr:row>4</xdr:row>
      <xdr:rowOff>127000</xdr:rowOff>
    </xdr:to>
    <xdr:pic>
      <xdr:nvPicPr>
        <xdr:cNvPr id="2166" name="Immagine 1">
          <a:extLst>
            <a:ext uri="{FF2B5EF4-FFF2-40B4-BE49-F238E27FC236}">
              <a16:creationId xmlns:a16="http://schemas.microsoft.com/office/drawing/2014/main" id="{2C4EC69A-496D-1943-9FD3-8C92B27AE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50" t="17918" r="6750" b="15607"/>
        <a:stretch>
          <a:fillRect/>
        </a:stretch>
      </xdr:blipFill>
      <xdr:spPr bwMode="auto">
        <a:xfrm>
          <a:off x="0" y="0"/>
          <a:ext cx="2082800" cy="736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144"/>
  <sheetViews>
    <sheetView showGridLines="0" tabSelected="1" zoomScale="60" zoomScaleNormal="60" workbookViewId="0">
      <selection activeCell="B9" sqref="B9:P9"/>
    </sheetView>
  </sheetViews>
  <sheetFormatPr baseColWidth="10" defaultColWidth="0" defaultRowHeight="26" zeroHeight="1" outlineLevelCol="4"/>
  <cols>
    <col min="1" max="4" width="5.83203125" style="12" customWidth="1"/>
    <col min="5" max="5" width="9.33203125" style="12" customWidth="1"/>
    <col min="6" max="6" width="7" style="12" customWidth="1"/>
    <col min="7" max="7" width="5.83203125" style="12" customWidth="1"/>
    <col min="8" max="8" width="12.83203125" style="12" bestFit="1" customWidth="1"/>
    <col min="9" max="12" width="5.83203125" style="12" customWidth="1"/>
    <col min="13" max="13" width="6.6640625" style="12" customWidth="1"/>
    <col min="14" max="21" width="5.83203125" style="12" customWidth="1"/>
    <col min="22" max="22" width="7" style="12" customWidth="1"/>
    <col min="23" max="23" width="5.83203125" style="12" customWidth="1"/>
    <col min="24" max="24" width="8" style="12" customWidth="1"/>
    <col min="25" max="25" width="7.5" style="12" customWidth="1"/>
    <col min="26" max="30" width="5.83203125" style="12" customWidth="1"/>
    <col min="31" max="31" width="7.83203125" style="12" customWidth="1"/>
    <col min="32" max="34" width="5.83203125" style="12" customWidth="1"/>
    <col min="35" max="35" width="8" style="12" customWidth="1"/>
    <col min="36" max="36" width="5.33203125" style="9" customWidth="1"/>
    <col min="37" max="37" width="27.83203125" style="9" customWidth="1"/>
    <col min="38" max="38" width="14" style="9" customWidth="1"/>
    <col min="39" max="39" width="25.6640625" style="9" customWidth="1"/>
    <col min="40" max="40" width="61.83203125" style="9" customWidth="1"/>
    <col min="41" max="41" width="15.6640625" style="9" customWidth="1"/>
    <col min="42" max="42" width="11.83203125" style="9" hidden="1" outlineLevel="1"/>
    <col min="43" max="43" width="15.6640625" style="9" hidden="1" outlineLevel="4"/>
    <col min="44" max="44" width="15.6640625" style="12" hidden="1"/>
    <col min="45" max="45" width="74" style="12" hidden="1" outlineLevel="1"/>
    <col min="46" max="46" width="91.83203125" style="12" hidden="1"/>
    <col min="47" max="47" width="56.5" style="12" hidden="1"/>
    <col min="48" max="48" width="52.5" style="12" hidden="1"/>
    <col min="49" max="49" width="4.1640625" style="12" hidden="1"/>
    <col min="50" max="50" width="54.83203125" style="12" hidden="1"/>
    <col min="51" max="51" width="25.6640625" style="12" hidden="1"/>
    <col min="52" max="255" width="0.1640625" style="12" hidden="1"/>
    <col min="256" max="16384" width="10.83203125" style="12" hidden="1"/>
  </cols>
  <sheetData>
    <row r="1" spans="1:46" s="9" customFormat="1" ht="25" customHeight="1">
      <c r="A1" s="158" t="s">
        <v>14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8"/>
    </row>
    <row r="2" spans="1:46" s="9" customFormat="1" ht="25" customHeight="1">
      <c r="A2" s="159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0"/>
    </row>
    <row r="3" spans="1:46" s="9" customFormat="1" ht="25" customHeight="1">
      <c r="A3" s="160" t="s">
        <v>57</v>
      </c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1"/>
      <c r="AS3" s="9" t="s">
        <v>4</v>
      </c>
    </row>
    <row r="4" spans="1:46" ht="25" customHeight="1">
      <c r="A4" s="163"/>
      <c r="B4" s="163"/>
      <c r="C4" s="163"/>
      <c r="D4" s="163"/>
      <c r="E4" s="163"/>
      <c r="F4" s="163"/>
      <c r="G4" s="163"/>
      <c r="H4" s="163"/>
      <c r="I4" s="164" t="s">
        <v>10</v>
      </c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5"/>
      <c r="AC4" s="75"/>
      <c r="AD4" s="74"/>
      <c r="AE4" s="74"/>
      <c r="AF4" s="74"/>
      <c r="AG4" s="74"/>
      <c r="AH4" s="74"/>
      <c r="AI4" s="76"/>
      <c r="AK4" s="126" t="s">
        <v>112</v>
      </c>
      <c r="AL4" s="127"/>
      <c r="AM4" s="127"/>
      <c r="AS4" s="73" t="s">
        <v>129</v>
      </c>
    </row>
    <row r="5" spans="1:46" ht="25" customHeight="1">
      <c r="A5" s="163"/>
      <c r="B5" s="163"/>
      <c r="C5" s="163"/>
      <c r="D5" s="163"/>
      <c r="E5" s="163"/>
      <c r="F5" s="163"/>
      <c r="G5" s="163"/>
      <c r="H5" s="163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  <c r="AA5" s="164"/>
      <c r="AB5" s="165"/>
      <c r="AC5" s="166" t="str">
        <f>IF(B9="","Scegliere il tipo di contratto",AS4)</f>
        <v>Scegliere il tipo di contratto</v>
      </c>
      <c r="AD5" s="167"/>
      <c r="AE5" s="167"/>
      <c r="AF5" s="167"/>
      <c r="AG5" s="167"/>
      <c r="AH5" s="167"/>
      <c r="AI5" s="168"/>
      <c r="AK5" s="13"/>
      <c r="AL5" s="14" t="s">
        <v>21</v>
      </c>
      <c r="AM5" s="14" t="s">
        <v>22</v>
      </c>
      <c r="AS5" s="12" t="s">
        <v>235</v>
      </c>
      <c r="AT5" s="12" t="s">
        <v>27</v>
      </c>
    </row>
    <row r="6" spans="1:46" ht="25" customHeight="1">
      <c r="A6" s="163"/>
      <c r="B6" s="163"/>
      <c r="C6" s="163"/>
      <c r="D6" s="163"/>
      <c r="E6" s="163"/>
      <c r="F6" s="163"/>
      <c r="G6" s="163"/>
      <c r="H6" s="163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/>
      <c r="AB6" s="165"/>
      <c r="AC6" s="166" t="str">
        <f>IF(B9="","",AS5)</f>
        <v/>
      </c>
      <c r="AD6" s="167"/>
      <c r="AE6" s="167"/>
      <c r="AF6" s="167"/>
      <c r="AG6" s="167"/>
      <c r="AH6" s="167"/>
      <c r="AI6" s="168"/>
      <c r="AK6" s="15" t="s">
        <v>29</v>
      </c>
      <c r="AL6" s="16">
        <v>0.3503</v>
      </c>
      <c r="AM6" s="16">
        <v>0.24</v>
      </c>
      <c r="AS6" s="12" t="s">
        <v>240</v>
      </c>
      <c r="AT6" s="12" t="s">
        <v>106</v>
      </c>
    </row>
    <row r="7" spans="1:46" ht="25" customHeight="1">
      <c r="A7" s="163"/>
      <c r="B7" s="163"/>
      <c r="C7" s="163"/>
      <c r="D7" s="163"/>
      <c r="E7" s="163"/>
      <c r="F7" s="163"/>
      <c r="G7" s="163"/>
      <c r="H7" s="163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5"/>
      <c r="AC7" s="169" t="str">
        <f>IF(B9="","",AS6)</f>
        <v/>
      </c>
      <c r="AD7" s="170"/>
      <c r="AE7" s="170"/>
      <c r="AF7" s="170"/>
      <c r="AG7" s="170"/>
      <c r="AH7" s="170"/>
      <c r="AI7" s="171"/>
      <c r="AK7" s="15" t="s">
        <v>0</v>
      </c>
      <c r="AL7" s="18">
        <v>4.0000000000000001E-3</v>
      </c>
      <c r="AM7" s="18">
        <v>4.0000000000000001E-3</v>
      </c>
      <c r="AN7" s="19"/>
      <c r="AT7" s="12" t="s">
        <v>28</v>
      </c>
    </row>
    <row r="8" spans="1:46" ht="25" customHeight="1">
      <c r="B8" s="162" t="s">
        <v>11</v>
      </c>
      <c r="C8" s="162"/>
      <c r="D8" s="162"/>
      <c r="E8" s="162"/>
      <c r="F8" s="162"/>
      <c r="G8" s="162"/>
      <c r="H8" s="162"/>
      <c r="I8" s="162"/>
      <c r="J8" s="162"/>
      <c r="K8" s="17"/>
      <c r="L8" s="17"/>
      <c r="M8" s="17"/>
      <c r="N8" s="17"/>
      <c r="O8" s="17"/>
      <c r="P8" s="20"/>
      <c r="U8" s="72"/>
      <c r="AK8" s="9" t="s">
        <v>1</v>
      </c>
      <c r="AT8" s="12" t="s">
        <v>74</v>
      </c>
    </row>
    <row r="9" spans="1:46" ht="25" customHeight="1">
      <c r="B9" s="161"/>
      <c r="C9" s="161"/>
      <c r="D9" s="161"/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161"/>
      <c r="P9" s="161"/>
      <c r="R9" s="83"/>
      <c r="AK9" s="9" t="s">
        <v>2</v>
      </c>
    </row>
    <row r="10" spans="1:46" ht="25" customHeight="1">
      <c r="AK10" s="21" t="s">
        <v>3</v>
      </c>
      <c r="AL10" s="21"/>
      <c r="AM10" s="21"/>
      <c r="AN10" s="21"/>
      <c r="AO10" s="21"/>
    </row>
    <row r="11" spans="1:46">
      <c r="B11" s="118" t="s">
        <v>41</v>
      </c>
      <c r="C11" s="118"/>
      <c r="D11" s="118"/>
      <c r="E11" s="118"/>
      <c r="F11" s="118"/>
      <c r="G11" s="118"/>
      <c r="H11" s="11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K11" s="11" t="s">
        <v>49</v>
      </c>
    </row>
    <row r="12" spans="1:46" ht="25" customHeight="1"/>
    <row r="13" spans="1:46" ht="25" customHeight="1">
      <c r="B13" s="141" t="str">
        <f>IF(B9="COLLABORAZIONE COORDINATA E CONTINUATIVA","Titolare di","")</f>
        <v/>
      </c>
      <c r="C13" s="141"/>
      <c r="D13" s="141"/>
      <c r="E13" s="141"/>
      <c r="F13" s="141"/>
      <c r="G13" s="141"/>
      <c r="H13" s="141"/>
      <c r="I13" s="141"/>
      <c r="J13" s="141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85"/>
      <c r="Z13" s="125"/>
      <c r="AA13" s="125"/>
      <c r="AB13" s="125"/>
      <c r="AC13" s="125"/>
      <c r="AD13" s="125"/>
      <c r="AE13" s="125"/>
      <c r="AF13" s="125"/>
      <c r="AG13" s="125"/>
      <c r="AH13" s="125"/>
      <c r="AS13" s="12" t="s">
        <v>139</v>
      </c>
      <c r="AT13" s="20" t="s">
        <v>67</v>
      </c>
    </row>
    <row r="14" spans="1:46" ht="25" customHeight="1">
      <c r="B14" s="23"/>
      <c r="C14" s="23"/>
      <c r="D14" s="23"/>
      <c r="E14" s="23"/>
      <c r="F14" s="23"/>
      <c r="G14" s="23"/>
      <c r="H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S14" s="12" t="s">
        <v>140</v>
      </c>
      <c r="AT14" s="12" t="s">
        <v>109</v>
      </c>
    </row>
    <row r="15" spans="1:46" ht="50" customHeight="1">
      <c r="B15" s="118" t="s">
        <v>205</v>
      </c>
      <c r="C15" s="118"/>
      <c r="D15" s="118"/>
      <c r="E15" s="118"/>
      <c r="F15" s="118"/>
      <c r="G15" s="118"/>
      <c r="H15" s="118"/>
      <c r="I15" s="129"/>
      <c r="J15" s="129"/>
      <c r="K15" s="142" t="str">
        <f>IF(I15="SI","Non serve presentare il MOD13-GRU con i dati anagrafici, in caso di modifica dati anagrafici compilare il MOD115-GRU",IF(AND(I15="NO",OR(B9="CONSULENZA",B9="COLLABORAZIONE AUTONOMA OCCASIONALE")),"Presentare il MOD13-GRU con i dati anagrafici","Presentare il MOD13-GRU con i dati anagrafici e il MOD26-GRU - Scheda di valut. colloquio di selezione"))</f>
        <v>Presentare il MOD13-GRU con i dati anagrafici e il MOD26-GRU - Scheda di valut. colloquio di selezione</v>
      </c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T15" s="12" t="s">
        <v>110</v>
      </c>
    </row>
    <row r="16" spans="1:46" ht="25" customHeight="1">
      <c r="B16" s="111" t="str">
        <f>IF(I15="","*Valorizzare se si tratta si proroga contrattuale per completare la compilazione della richiesta","")</f>
        <v>*Valorizzare se si tratta si proroga contrattuale per completare la compilazione della richiesta</v>
      </c>
      <c r="C16" s="111"/>
      <c r="D16" s="111"/>
      <c r="E16" s="111"/>
      <c r="F16" s="111"/>
      <c r="G16" s="111"/>
      <c r="H16" s="111"/>
      <c r="J16" s="22"/>
      <c r="K16" s="172" t="str">
        <f>IF(OR(B9="CONSULENZA",B9="COLLABORAZIONE AUTONOMA OCCASIONALE"),"Compilare il MOD05 tramite l'apposito form disponibile in intranet","")</f>
        <v/>
      </c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172"/>
      <c r="AA16" s="172"/>
      <c r="AB16" s="172"/>
      <c r="AC16" s="172"/>
      <c r="AD16" s="172"/>
      <c r="AE16" s="172"/>
      <c r="AF16" s="172"/>
      <c r="AG16" s="172"/>
      <c r="AH16" s="172"/>
      <c r="AI16" s="172"/>
      <c r="AS16" s="12" t="s">
        <v>210</v>
      </c>
      <c r="AT16" s="12" t="s">
        <v>232</v>
      </c>
    </row>
    <row r="17" spans="1:46" ht="25" customHeight="1">
      <c r="B17" s="111"/>
      <c r="C17" s="111"/>
      <c r="D17" s="111"/>
      <c r="E17" s="111"/>
      <c r="F17" s="111"/>
      <c r="G17" s="111"/>
      <c r="H17" s="111"/>
      <c r="J17" s="53"/>
      <c r="K17" s="23"/>
      <c r="L17" s="23"/>
      <c r="M17" s="23"/>
      <c r="N17" s="23"/>
      <c r="O17" s="23"/>
      <c r="P17" s="23"/>
      <c r="Q17" s="23"/>
      <c r="R17" s="23"/>
      <c r="AS17" s="12" t="s">
        <v>209</v>
      </c>
      <c r="AT17" s="12" t="s">
        <v>134</v>
      </c>
    </row>
    <row r="18" spans="1:46" ht="25" customHeight="1">
      <c r="B18" s="118" t="str">
        <f>IF(AND(B9="Collaborazione coordinata e continuativa",I15="NO"),"Indicare modalità di selezione","")</f>
        <v/>
      </c>
      <c r="C18" s="118"/>
      <c r="D18" s="118"/>
      <c r="E18" s="118"/>
      <c r="F18" s="118"/>
      <c r="G18" s="118"/>
      <c r="H18" s="118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U18" s="23"/>
      <c r="V18" s="141" t="str">
        <f>IF(AND(B9="COLLABORAZIONE COORDINATA E CONTINUATIVA",Z13="Si",K13="contratto di lavoro subordinato con altro datore di lavoro"),"Nulla Osta","")</f>
        <v/>
      </c>
      <c r="W18" s="141"/>
      <c r="X18" s="141"/>
      <c r="Y18" s="141"/>
      <c r="Z18" s="125"/>
      <c r="AA18" s="125"/>
      <c r="AB18" s="125"/>
      <c r="AC18" s="125"/>
      <c r="AD18" s="125"/>
      <c r="AE18" s="125"/>
      <c r="AF18" s="125"/>
      <c r="AG18" s="125"/>
      <c r="AH18" s="125"/>
    </row>
    <row r="19" spans="1:46" ht="25" customHeight="1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96"/>
      <c r="Y19" s="96"/>
      <c r="Z19" s="53"/>
      <c r="AA19" s="53"/>
      <c r="AB19" s="53"/>
      <c r="AC19" s="53"/>
      <c r="AD19" s="53"/>
      <c r="AE19" s="53"/>
      <c r="AF19" s="53"/>
      <c r="AG19" s="53"/>
      <c r="AH19" s="53"/>
      <c r="AT19" s="20" t="s">
        <v>87</v>
      </c>
    </row>
    <row r="20" spans="1:46" ht="25" customHeight="1">
      <c r="B20" s="180" t="str">
        <f>IF(AND(B9="Collaborazione coordinata e continuativa",I15="NO",I18="AFFILIATO (da oltre 24 mesi)"),"Data colloquio","")</f>
        <v/>
      </c>
      <c r="C20" s="180"/>
      <c r="D20" s="180"/>
      <c r="E20" s="180"/>
      <c r="F20" s="180"/>
      <c r="G20" s="180"/>
      <c r="H20" s="180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82"/>
      <c r="T20" s="82"/>
      <c r="U20" s="97"/>
      <c r="V20" s="98"/>
      <c r="W20" s="98"/>
      <c r="X20" s="96"/>
      <c r="Y20" s="96"/>
      <c r="Z20" s="53"/>
      <c r="AA20" s="53"/>
      <c r="AB20" s="53"/>
      <c r="AC20" s="53"/>
      <c r="AD20" s="53"/>
      <c r="AE20" s="53"/>
      <c r="AF20" s="53"/>
      <c r="AG20" s="53"/>
      <c r="AH20" s="53"/>
      <c r="AT20" s="12" t="s">
        <v>88</v>
      </c>
    </row>
    <row r="21" spans="1:46" ht="25" customHeight="1">
      <c r="B21" s="22"/>
      <c r="C21" s="22"/>
      <c r="D21" s="22"/>
      <c r="E21" s="22"/>
      <c r="F21" s="22"/>
      <c r="G21" s="22"/>
      <c r="H21" s="22"/>
      <c r="I21" s="53"/>
      <c r="J21" s="53"/>
      <c r="K21" s="53"/>
      <c r="L21" s="53"/>
      <c r="N21" s="53"/>
      <c r="O21" s="53"/>
      <c r="P21" s="53"/>
      <c r="Q21" s="53"/>
      <c r="R21" s="5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T21" s="12" t="s">
        <v>89</v>
      </c>
    </row>
    <row r="22" spans="1:46" ht="25" customHeight="1">
      <c r="B22" s="118" t="s">
        <v>86</v>
      </c>
      <c r="C22" s="118"/>
      <c r="D22" s="118"/>
      <c r="E22" s="118"/>
      <c r="F22" s="118"/>
      <c r="G22" s="118"/>
      <c r="H22" s="118"/>
      <c r="I22" s="118"/>
      <c r="J22" s="118"/>
      <c r="K22" s="118"/>
      <c r="L22" s="139"/>
      <c r="M22" s="139"/>
      <c r="N22" s="139"/>
      <c r="O22" s="139"/>
      <c r="Q22" s="60"/>
      <c r="R22" s="60"/>
      <c r="S22" s="110" t="str">
        <f>IF(Z18="Si","Comunicazione Compensi","")</f>
        <v/>
      </c>
      <c r="T22" s="110"/>
      <c r="U22" s="110"/>
      <c r="V22" s="110"/>
      <c r="W22" s="110"/>
      <c r="X22" s="110"/>
      <c r="Y22" s="110"/>
      <c r="Z22" s="125"/>
      <c r="AA22" s="125"/>
      <c r="AB22" s="125"/>
      <c r="AC22" s="125"/>
      <c r="AD22" s="125"/>
      <c r="AE22" s="125"/>
      <c r="AF22" s="125"/>
      <c r="AG22" s="125"/>
      <c r="AH22" s="125"/>
    </row>
    <row r="23" spans="1:46" ht="25" customHeight="1" thickBot="1"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K23" s="56" t="s">
        <v>71</v>
      </c>
      <c r="AT23" s="12" t="s">
        <v>97</v>
      </c>
    </row>
    <row r="24" spans="1:46" ht="25" customHeight="1" thickTop="1">
      <c r="B24" s="20"/>
      <c r="AK24" s="13"/>
      <c r="AT24" s="12" t="s">
        <v>98</v>
      </c>
    </row>
    <row r="25" spans="1:46" s="26" customFormat="1" ht="25" customHeight="1">
      <c r="A25" s="12"/>
      <c r="B25" s="118" t="s">
        <v>50</v>
      </c>
      <c r="C25" s="118"/>
      <c r="D25" s="118"/>
      <c r="E25" s="118"/>
      <c r="F25" s="118"/>
      <c r="G25" s="118"/>
      <c r="H25" s="118"/>
      <c r="I25" s="123"/>
      <c r="J25" s="123"/>
      <c r="K25" s="123"/>
      <c r="L25" s="123"/>
      <c r="M25" s="12"/>
      <c r="N25" s="12"/>
      <c r="O25" s="110" t="s">
        <v>51</v>
      </c>
      <c r="P25" s="110"/>
      <c r="Q25" s="110"/>
      <c r="R25" s="110"/>
      <c r="S25" s="110"/>
      <c r="T25" s="110"/>
      <c r="U25" s="123"/>
      <c r="V25" s="123"/>
      <c r="W25" s="123"/>
      <c r="X25" s="123"/>
      <c r="Y25" s="12"/>
      <c r="Z25" s="118" t="s">
        <v>52</v>
      </c>
      <c r="AA25" s="118"/>
      <c r="AB25" s="118"/>
      <c r="AC25" s="118"/>
      <c r="AD25" s="118"/>
      <c r="AE25" s="124" t="str">
        <f>IF(MONTH(U25)-MONTH(I25)+((YEAR(U25)-YEAR(I25))*12)+(ABS(DAY(U25)-DAY(I25))/30)=0,"",MONTH(U25)-MONTH(I25)+((YEAR(U25)-YEAR(I25))*12)+(ABS(DAY(U25)-DAY(I25))/30))</f>
        <v/>
      </c>
      <c r="AF25" s="124"/>
      <c r="AG25" s="124"/>
      <c r="AH25" s="124"/>
      <c r="AI25" s="12"/>
      <c r="AJ25" s="25"/>
      <c r="AK25" s="69">
        <f>IF(I51="SI",2000/12*AE25,0)</f>
        <v>0</v>
      </c>
      <c r="AL25" s="9"/>
      <c r="AM25" s="9"/>
      <c r="AN25" s="25"/>
      <c r="AO25" s="25"/>
      <c r="AP25" s="25"/>
      <c r="AQ25" s="25"/>
      <c r="AT25" s="12" t="s">
        <v>99</v>
      </c>
    </row>
    <row r="26" spans="1:46" ht="25" customHeight="1">
      <c r="B26" s="22"/>
      <c r="C26" s="22"/>
      <c r="D26" s="22"/>
      <c r="E26" s="22"/>
      <c r="F26" s="22"/>
      <c r="G26" s="22"/>
      <c r="AP26" s="9" t="s">
        <v>70</v>
      </c>
    </row>
    <row r="27" spans="1:46" ht="25" customHeight="1">
      <c r="B27" s="118" t="str">
        <f>IF(B9="Cessione diritti d'autore","Titolo dell'opera","Oggetto contratto")</f>
        <v>Oggetto contratto</v>
      </c>
      <c r="C27" s="118"/>
      <c r="D27" s="118"/>
      <c r="E27" s="118"/>
      <c r="F27" s="118"/>
      <c r="G27" s="118"/>
      <c r="H27" s="118"/>
      <c r="I27" s="119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  <c r="AE27" s="120"/>
      <c r="AF27" s="120"/>
      <c r="AG27" s="120"/>
      <c r="AH27" s="120"/>
    </row>
    <row r="28" spans="1:46" s="26" customFormat="1" ht="25" customHeight="1">
      <c r="A28" s="12"/>
      <c r="B28" s="118"/>
      <c r="C28" s="118"/>
      <c r="D28" s="118"/>
      <c r="E28" s="118"/>
      <c r="F28" s="118"/>
      <c r="G28" s="118"/>
      <c r="H28" s="118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"/>
      <c r="AJ28" s="25"/>
      <c r="AK28" s="25"/>
      <c r="AL28" s="25"/>
      <c r="AM28" s="25"/>
      <c r="AN28" s="25"/>
      <c r="AO28" s="25"/>
      <c r="AP28" s="25"/>
      <c r="AQ28" s="25"/>
    </row>
    <row r="29" spans="1:46" ht="25" customHeight="1">
      <c r="A29" s="26"/>
      <c r="B29" s="22"/>
      <c r="C29" s="22"/>
      <c r="D29" s="22"/>
      <c r="E29" s="22"/>
      <c r="F29" s="22"/>
      <c r="G29" s="22"/>
      <c r="AI29" s="26"/>
    </row>
    <row r="30" spans="1:46" ht="25" customHeight="1">
      <c r="B30" s="122" t="str">
        <f>IF(B9="Cessione diritti d'autore","Titolo dell'opera 2","Obiettivi dell'oggetto contrattuale")</f>
        <v>Obiettivi dell'oggetto contrattuale</v>
      </c>
      <c r="C30" s="122"/>
      <c r="D30" s="122"/>
      <c r="E30" s="122"/>
      <c r="F30" s="122"/>
      <c r="G30" s="122"/>
      <c r="H30" s="122"/>
      <c r="I30" s="119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</row>
    <row r="31" spans="1:46" ht="25" customHeight="1">
      <c r="B31" s="122"/>
      <c r="C31" s="122"/>
      <c r="D31" s="122"/>
      <c r="E31" s="122"/>
      <c r="F31" s="122"/>
      <c r="G31" s="122"/>
      <c r="H31" s="122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</row>
    <row r="32" spans="1:46" ht="25" customHeight="1">
      <c r="A32" s="26"/>
      <c r="B32" s="122"/>
      <c r="C32" s="122"/>
      <c r="D32" s="122"/>
      <c r="E32" s="122"/>
      <c r="F32" s="122"/>
      <c r="G32" s="122"/>
      <c r="H32" s="122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26"/>
    </row>
    <row r="33" spans="1:48" ht="25" customHeight="1">
      <c r="B33" s="122"/>
      <c r="C33" s="122"/>
      <c r="D33" s="122"/>
      <c r="E33" s="122"/>
      <c r="F33" s="122"/>
      <c r="G33" s="122"/>
      <c r="H33" s="122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</row>
    <row r="34" spans="1:48" ht="25" customHeight="1">
      <c r="B34" s="22"/>
      <c r="C34" s="22"/>
      <c r="D34" s="22"/>
      <c r="E34" s="22"/>
      <c r="F34" s="22"/>
      <c r="G34" s="22"/>
    </row>
    <row r="35" spans="1:48" ht="28" customHeight="1">
      <c r="B35" s="118" t="s">
        <v>15</v>
      </c>
      <c r="C35" s="118"/>
      <c r="D35" s="118"/>
      <c r="E35" s="118"/>
      <c r="F35" s="118"/>
      <c r="G35" s="118"/>
      <c r="H35" s="118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26"/>
      <c r="T35" s="118" t="s">
        <v>77</v>
      </c>
      <c r="U35" s="118"/>
      <c r="V35" s="118"/>
      <c r="W35" s="118"/>
      <c r="X35" s="118"/>
      <c r="Y35" s="118"/>
      <c r="Z35" s="137"/>
      <c r="AA35" s="137"/>
      <c r="AB35" s="137"/>
      <c r="AC35" s="137"/>
      <c r="AD35" s="137"/>
      <c r="AE35" s="137"/>
      <c r="AF35" s="137"/>
      <c r="AG35" s="137"/>
      <c r="AH35" s="137"/>
    </row>
    <row r="36" spans="1:48" s="26" customFormat="1" ht="25" customHeight="1">
      <c r="A36" s="12"/>
      <c r="B36" s="22"/>
      <c r="C36" s="22"/>
      <c r="D36" s="22"/>
      <c r="E36" s="22"/>
      <c r="F36" s="22"/>
      <c r="G36" s="2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25"/>
      <c r="AK36" s="25"/>
      <c r="AL36" s="25"/>
      <c r="AM36" s="25"/>
      <c r="AN36" s="25"/>
      <c r="AO36" s="25"/>
      <c r="AP36" s="25"/>
      <c r="AQ36" s="25"/>
    </row>
    <row r="37" spans="1:48" ht="34" customHeight="1">
      <c r="B37" s="118" t="s">
        <v>75</v>
      </c>
      <c r="C37" s="118"/>
      <c r="D37" s="118"/>
      <c r="E37" s="118"/>
      <c r="F37" s="118"/>
      <c r="G37" s="118"/>
      <c r="H37" s="118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T37" s="118" t="s">
        <v>128</v>
      </c>
      <c r="U37" s="118"/>
      <c r="V37" s="118"/>
      <c r="W37" s="118"/>
      <c r="X37" s="118"/>
      <c r="Y37" s="118"/>
      <c r="Z37" s="137"/>
      <c r="AA37" s="137"/>
      <c r="AB37" s="137"/>
      <c r="AC37" s="137"/>
      <c r="AD37" s="137"/>
      <c r="AE37" s="137"/>
      <c r="AF37" s="137"/>
      <c r="AG37" s="137"/>
      <c r="AH37" s="137"/>
    </row>
    <row r="38" spans="1:48" ht="25" customHeight="1">
      <c r="B38" s="22"/>
      <c r="C38" s="22"/>
      <c r="D38" s="22"/>
      <c r="E38" s="22"/>
      <c r="F38" s="22"/>
      <c r="G38" s="22"/>
    </row>
    <row r="39" spans="1:48" ht="25" customHeight="1">
      <c r="B39" s="140" t="str">
        <f>IF($B$9="consulenza","Progetto al quale si applica la non imponibilità IVA (art. 72, c3, n. 3, DPR 633/1972) sul","")</f>
        <v/>
      </c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35">
        <v>0</v>
      </c>
      <c r="AA39" s="135"/>
      <c r="AB39" s="12" t="str">
        <f>IF($B$9="consulenza","(Indicare EC contribution)","")</f>
        <v/>
      </c>
    </row>
    <row r="40" spans="1:48" ht="25" customHeight="1">
      <c r="A40" s="26"/>
      <c r="B40" s="22"/>
      <c r="C40" s="22"/>
      <c r="D40" s="22"/>
      <c r="E40" s="22"/>
      <c r="F40" s="22"/>
      <c r="G40" s="22"/>
      <c r="AI40" s="26"/>
    </row>
    <row r="41" spans="1:48" ht="25" customHeight="1">
      <c r="B41" s="118" t="s">
        <v>76</v>
      </c>
      <c r="C41" s="118"/>
      <c r="D41" s="118"/>
      <c r="E41" s="118"/>
      <c r="F41" s="118"/>
      <c r="G41" s="118"/>
      <c r="H41" s="118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27"/>
      <c r="T41" s="118" t="s">
        <v>40</v>
      </c>
      <c r="U41" s="118"/>
      <c r="V41" s="118"/>
      <c r="W41" s="118"/>
      <c r="X41" s="118"/>
      <c r="Y41" s="118"/>
      <c r="Z41" s="137"/>
      <c r="AA41" s="137"/>
      <c r="AB41" s="137"/>
      <c r="AC41" s="137"/>
      <c r="AD41" s="137"/>
      <c r="AE41" s="137"/>
      <c r="AF41" s="137"/>
      <c r="AG41" s="137"/>
      <c r="AH41" s="137"/>
      <c r="AT41" s="63"/>
      <c r="AU41" s="63"/>
      <c r="AV41" s="20"/>
    </row>
    <row r="42" spans="1:48" ht="25" customHeight="1">
      <c r="B42" s="22"/>
      <c r="C42" s="22"/>
      <c r="D42" s="22"/>
      <c r="E42" s="22"/>
      <c r="F42" s="22"/>
      <c r="G42" s="22"/>
      <c r="H42" s="22"/>
      <c r="AP42" s="30"/>
      <c r="AQ42" s="30"/>
      <c r="AS42" s="64"/>
      <c r="AU42" s="31"/>
    </row>
    <row r="43" spans="1:48" ht="25" customHeight="1">
      <c r="B43" s="118" t="str">
        <f>IF(ISERROR(SEARCH("23102405",I41)),"Qualifica","")</f>
        <v>Qualifica</v>
      </c>
      <c r="C43" s="118"/>
      <c r="D43" s="118"/>
      <c r="E43" s="118"/>
      <c r="F43" s="118"/>
      <c r="G43" s="118"/>
      <c r="H43" s="118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27"/>
      <c r="T43" s="136"/>
      <c r="U43" s="136"/>
      <c r="V43" s="136"/>
      <c r="W43" s="136"/>
      <c r="X43" s="136"/>
      <c r="Y43" s="136"/>
      <c r="Z43" s="109"/>
      <c r="AA43" s="109"/>
      <c r="AB43" s="109"/>
      <c r="AC43" s="109"/>
      <c r="AD43" s="109"/>
      <c r="AE43" s="109"/>
      <c r="AF43" s="109"/>
      <c r="AG43" s="109"/>
      <c r="AH43" s="109"/>
      <c r="AP43" s="30"/>
      <c r="AQ43" s="30"/>
      <c r="AS43" s="64"/>
      <c r="AU43" s="31"/>
    </row>
    <row r="44" spans="1:48" ht="25" customHeight="1" thickBot="1"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9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P44" s="30"/>
      <c r="AQ44" s="30"/>
      <c r="AS44" s="64"/>
      <c r="AU44" s="31"/>
    </row>
    <row r="45" spans="1:48" ht="25" customHeight="1" thickTop="1">
      <c r="I45" s="183" t="str">
        <f>IF(B9="COLLABORAZIONE AUTONOMA OCCASIONALE","",IF(E55="Full Time",IF(I48="","",IF(AE25&gt;11.9999,(IF(I48&lt;VLOOKUP(I43,QUALIFICHE!A7:$F$205,3,0),"Attenzione! Importo totale inferiore al limite previsto per la relativa qualifica",IF(I48&gt;VLOOKUP(I43,QUALIFICHE!A7:$F$205,5,0),"Attenzione! Importo totale superiore al limite previsto per la relativa qualifica",""))),(IF(I48&lt;(VLOOKUP(I43,QUALIFICHE!A7:$F$205,3,0)/12)*AE25,"Attenzione! Importo totale inferiore al limite previsto per la relativa qualifica",IF(I48&gt;(VLOOKUP(I43,QUALIFICHE!A7:$F$205,5,0)/12)*AE25,"Attenzione! Importo totale superiore al limite previsto per la relativa qualifica",""))))),""))</f>
        <v/>
      </c>
      <c r="J45" s="183"/>
      <c r="K45" s="183"/>
      <c r="L45" s="183"/>
      <c r="M45" s="183"/>
      <c r="N45" s="183"/>
      <c r="O45" s="183"/>
      <c r="R45" s="12" t="s">
        <v>58</v>
      </c>
      <c r="AB45" s="183" t="str">
        <f>IF(I43="Personale Tecnico-Manageriale","",IF(AF48="","",IF(AF48&lt;VLOOKUP(I43,QUALIFICHE!$A$7:$F$20,4,0),"Attenzione! Costo orario inferiore al limite previsto per la relativa qualifica",IF(AF48&gt;VLOOKUP(I43,QUALIFICHE!$A$7:$F$20,6,0),"Attenzione! Costo orario superiore al limite previsto per la relativa qualifica",""))))</f>
        <v/>
      </c>
      <c r="AC45" s="183"/>
      <c r="AD45" s="183"/>
      <c r="AE45" s="183"/>
      <c r="AF45" s="183"/>
      <c r="AG45" s="183"/>
      <c r="AH45" s="183"/>
      <c r="AK45" s="33" t="s">
        <v>7</v>
      </c>
      <c r="AL45" s="130" t="str">
        <f>AV42&amp;AV45&amp;AV46&amp;AV47&amp;AV49&amp;AV51&amp;AV52&amp;AV56&amp;AV60&amp;AV61&amp;AV62&amp;AV63&amp;AV64&amp;AV65</f>
        <v/>
      </c>
      <c r="AM45" s="131"/>
      <c r="AN45" s="132"/>
      <c r="AP45" s="34"/>
      <c r="AQ45" s="34"/>
      <c r="AS45" s="64"/>
      <c r="AT45" s="31"/>
      <c r="AU45" s="31"/>
    </row>
    <row r="46" spans="1:48" ht="66" customHeight="1">
      <c r="I46" s="184"/>
      <c r="J46" s="184"/>
      <c r="K46" s="184"/>
      <c r="L46" s="184"/>
      <c r="M46" s="184"/>
      <c r="N46" s="184"/>
      <c r="O46" s="184"/>
      <c r="AB46" s="184"/>
      <c r="AC46" s="184"/>
      <c r="AD46" s="184"/>
      <c r="AE46" s="184"/>
      <c r="AF46" s="184"/>
      <c r="AG46" s="184"/>
      <c r="AH46" s="184"/>
      <c r="AP46" s="35"/>
      <c r="AQ46" s="35"/>
      <c r="AR46" s="23"/>
      <c r="AS46" s="64"/>
      <c r="AT46" s="31"/>
      <c r="AU46" s="31"/>
    </row>
    <row r="47" spans="1:48" ht="25" customHeight="1">
      <c r="I47" s="184"/>
      <c r="J47" s="184"/>
      <c r="K47" s="184"/>
      <c r="L47" s="184"/>
      <c r="M47" s="184"/>
      <c r="N47" s="184"/>
      <c r="O47" s="184"/>
      <c r="AB47" s="184"/>
      <c r="AC47" s="184"/>
      <c r="AD47" s="184"/>
      <c r="AE47" s="184"/>
      <c r="AF47" s="184"/>
      <c r="AG47" s="184"/>
      <c r="AH47" s="184"/>
      <c r="AK47" s="36" t="s">
        <v>5</v>
      </c>
      <c r="AL47" s="36"/>
      <c r="AM47" s="36"/>
      <c r="AN47" s="36"/>
      <c r="AS47" s="64"/>
      <c r="AT47" s="31"/>
      <c r="AU47" s="31"/>
    </row>
    <row r="48" spans="1:48" ht="25" customHeight="1">
      <c r="B48" s="118" t="str">
        <f>IF(B9="Consulenza","Onorario ", IF(B9="occasionale","Compenso al lordo di ritenuta d'acconto", "Importo totale "))</f>
        <v xml:space="preserve">Importo totale </v>
      </c>
      <c r="C48" s="118"/>
      <c r="D48" s="118"/>
      <c r="E48" s="118"/>
      <c r="F48" s="118"/>
      <c r="G48" s="118"/>
      <c r="H48" s="118"/>
      <c r="I48" s="138"/>
      <c r="J48" s="138"/>
      <c r="K48" s="138"/>
      <c r="L48" s="138"/>
      <c r="M48" s="138"/>
      <c r="N48" s="138"/>
      <c r="O48" s="138"/>
      <c r="Q48" s="118" t="s">
        <v>42</v>
      </c>
      <c r="R48" s="118"/>
      <c r="S48" s="118"/>
      <c r="T48" s="118"/>
      <c r="U48" s="118"/>
      <c r="V48" s="118"/>
      <c r="W48" s="137"/>
      <c r="X48" s="137"/>
      <c r="Y48" s="137"/>
      <c r="AB48" s="122" t="str">
        <f>IF(ISERROR(SEARCH("23102405",I41)),"Costo orario indicativo","")</f>
        <v>Costo orario indicativo</v>
      </c>
      <c r="AC48" s="122"/>
      <c r="AD48" s="122"/>
      <c r="AE48" s="122"/>
      <c r="AF48" s="134"/>
      <c r="AG48" s="134"/>
      <c r="AH48" s="134"/>
      <c r="AK48" s="36"/>
      <c r="AL48" s="36"/>
      <c r="AM48" s="36"/>
      <c r="AN48" s="36"/>
      <c r="AS48" s="64"/>
      <c r="AT48" s="31"/>
      <c r="AU48" s="31"/>
    </row>
    <row r="49" spans="2:47" ht="25" customHeight="1">
      <c r="AA49" s="112" t="str">
        <f>IF(AND(ISERROR(SEARCH("23102405",I41)),AF48=""), "*VALORIZZA COSTO ORARIO","")</f>
        <v>*VALORIZZA COSTO ORARIO</v>
      </c>
      <c r="AB49" s="112"/>
      <c r="AC49" s="112"/>
      <c r="AD49" s="112"/>
      <c r="AE49" s="112"/>
      <c r="AF49" s="112"/>
      <c r="AG49" s="112"/>
      <c r="AH49" s="112"/>
      <c r="AK49" s="36" t="s">
        <v>39</v>
      </c>
      <c r="AL49" s="36"/>
      <c r="AM49" s="37" t="s">
        <v>47</v>
      </c>
      <c r="AN49" s="37" t="s">
        <v>22</v>
      </c>
      <c r="AS49" s="65"/>
      <c r="AT49" s="31"/>
      <c r="AU49" s="31"/>
    </row>
    <row r="50" spans="2:47" ht="25" customHeight="1">
      <c r="AK50" s="36"/>
      <c r="AL50" s="36"/>
      <c r="AM50" s="37"/>
      <c r="AN50" s="37"/>
      <c r="AS50" s="64"/>
      <c r="AT50" s="31"/>
      <c r="AU50" s="31"/>
    </row>
    <row r="51" spans="2:47" ht="25" customHeight="1">
      <c r="B51" s="118" t="str">
        <f>IF(AND(B9="COLLABORAZIONE COORDINATA E CONTINUATIVA",I48&gt;14999.999,AE25&gt;11.5),"Welfare","")</f>
        <v/>
      </c>
      <c r="C51" s="118"/>
      <c r="D51" s="118"/>
      <c r="E51" s="118"/>
      <c r="F51" s="118"/>
      <c r="G51" s="118"/>
      <c r="H51" s="118"/>
      <c r="I51" s="113" t="str">
        <f>IF(AND(B9="COLLABORAZIONE COORDINATA E CONTINUATIVA",I48&gt;14999.999,AE25&gt;11.5),"SI","")</f>
        <v/>
      </c>
      <c r="J51" s="113"/>
      <c r="K51" s="113"/>
      <c r="W51" s="114" t="s">
        <v>105</v>
      </c>
      <c r="X51" s="114"/>
      <c r="Y51" s="114"/>
      <c r="Z51" s="114"/>
      <c r="AA51" s="114"/>
      <c r="AB51" s="114"/>
      <c r="AC51" s="137"/>
      <c r="AD51" s="137"/>
      <c r="AE51" s="137"/>
      <c r="AF51" s="137"/>
      <c r="AG51" s="137"/>
      <c r="AH51" s="137"/>
      <c r="AK51" s="34" t="s">
        <v>16</v>
      </c>
      <c r="AL51" s="34"/>
      <c r="AM51" s="39">
        <f>$I$48</f>
        <v>0</v>
      </c>
      <c r="AN51" s="39">
        <f>$I$48</f>
        <v>0</v>
      </c>
      <c r="AS51" s="64"/>
      <c r="AT51" s="31"/>
      <c r="AU51" s="31"/>
    </row>
    <row r="52" spans="2:47" ht="25" customHeight="1">
      <c r="B52" s="22"/>
      <c r="C52" s="22"/>
      <c r="D52" s="22"/>
      <c r="E52" s="22"/>
      <c r="F52" s="22"/>
      <c r="G52" s="22"/>
      <c r="H52" s="22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K52" s="34" t="s">
        <v>60</v>
      </c>
      <c r="AL52" s="34"/>
      <c r="AM52" s="39">
        <f>($AM$51*$AL$6)/3*2</f>
        <v>0</v>
      </c>
      <c r="AN52" s="39">
        <f>(AN51*AM6)/3*2</f>
        <v>0</v>
      </c>
      <c r="AS52" s="65"/>
      <c r="AT52" s="31"/>
      <c r="AU52" s="31"/>
    </row>
    <row r="53" spans="2:47" ht="25" customHeight="1">
      <c r="B53" s="189" t="str">
        <f>IF($B$9="Collaborazione Autonoma Occasionale","Se occasionale: indicare importo soggetto a contributi INPS:  ","")</f>
        <v/>
      </c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15"/>
      <c r="R53" s="115"/>
      <c r="S53" s="115"/>
      <c r="T53" s="115"/>
      <c r="U53" s="115"/>
      <c r="V53" s="115"/>
      <c r="W53" s="115"/>
      <c r="AK53" s="34"/>
      <c r="AL53" s="34"/>
      <c r="AM53" s="39"/>
      <c r="AN53" s="39"/>
      <c r="AS53" s="64"/>
      <c r="AT53" s="31"/>
      <c r="AU53" s="31"/>
    </row>
    <row r="54" spans="2:47" ht="25" customHeight="1">
      <c r="B54" s="59"/>
      <c r="C54" s="59"/>
      <c r="D54" s="59"/>
      <c r="E54" s="59"/>
      <c r="F54" s="59"/>
      <c r="G54" s="59"/>
      <c r="H54" s="59"/>
      <c r="I54" s="59"/>
      <c r="K54" s="59"/>
      <c r="L54" s="59"/>
      <c r="M54" s="59"/>
      <c r="N54" s="59"/>
      <c r="O54" s="59"/>
      <c r="P54" s="59"/>
      <c r="AK54" s="34"/>
      <c r="AL54" s="34"/>
      <c r="AM54" s="39"/>
      <c r="AN54" s="39"/>
      <c r="AS54" s="64"/>
      <c r="AT54" s="31"/>
      <c r="AU54" s="31"/>
    </row>
    <row r="55" spans="2:47" ht="25" customHeight="1">
      <c r="B55" s="78" t="str">
        <f>IF(ISERROR(SEARCH("23102405",I41)),"Percentuale Impegno","")</f>
        <v>Percentuale Impegno</v>
      </c>
      <c r="C55" s="78"/>
      <c r="D55" s="78"/>
      <c r="E55" s="79"/>
      <c r="F55" s="79"/>
      <c r="G55" s="187" t="str">
        <f>IFERROR(IF(I51="SI",((I68-AK25)/AE25)*12/AF48/1720,(I66/AE25)*12/AF48/1720),"")</f>
        <v/>
      </c>
      <c r="H55" s="187"/>
      <c r="K55" s="59" t="str">
        <f>IF(ISERROR(SEARCH("23102405",I41)),"Impegno:","")</f>
        <v>Impegno:</v>
      </c>
      <c r="N55" s="117" t="str">
        <f>(IF(G55="","",IF(G55&lt;0.9,"Parziale",IF(G55&gt;=0.9,"Fulltime"))))</f>
        <v/>
      </c>
      <c r="O55" s="117"/>
      <c r="P55" s="117"/>
      <c r="Q55" s="117"/>
      <c r="R55" s="77"/>
      <c r="S55" s="114" t="str">
        <f t="shared" ref="S55" si="0">IF(W51="Altro","Specificare","")</f>
        <v/>
      </c>
      <c r="T55" s="114"/>
      <c r="U55" s="114"/>
      <c r="V55" s="114" t="str">
        <f t="shared" ref="V55" si="1">IF(Z51="Altro","Specificare","")</f>
        <v/>
      </c>
      <c r="W55" s="114"/>
      <c r="X55" s="114"/>
      <c r="Y55" s="114" t="str">
        <f>IF(AC51="Altro","Specificare","")</f>
        <v/>
      </c>
      <c r="Z55" s="114"/>
      <c r="AA55" s="114"/>
      <c r="AB55" s="116" t="str">
        <f>IF(AC51="Altro","Inserire: mesi di erogazione e relativi importi del compenso da erogare","")</f>
        <v/>
      </c>
      <c r="AC55" s="116"/>
      <c r="AD55" s="116"/>
      <c r="AE55" s="116"/>
      <c r="AF55" s="116"/>
      <c r="AG55" s="116"/>
      <c r="AH55" s="116"/>
      <c r="AI55" s="52"/>
      <c r="AK55" s="34"/>
      <c r="AL55" s="34"/>
      <c r="AM55" s="39"/>
      <c r="AN55" s="39"/>
      <c r="AS55" s="66"/>
      <c r="AT55" s="31"/>
      <c r="AU55" s="31"/>
    </row>
    <row r="56" spans="2:47"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B56" s="116"/>
      <c r="AC56" s="116"/>
      <c r="AD56" s="116"/>
      <c r="AE56" s="116"/>
      <c r="AF56" s="116"/>
      <c r="AG56" s="116"/>
      <c r="AH56" s="116"/>
      <c r="AK56" s="42" t="s">
        <v>61</v>
      </c>
      <c r="AL56" s="42"/>
      <c r="AM56" s="43">
        <f>($AM$51*$AL$7)/3*2</f>
        <v>0</v>
      </c>
      <c r="AN56" s="43">
        <f>(AN51*AM7)/3*2</f>
        <v>0</v>
      </c>
      <c r="AT56" s="31"/>
      <c r="AU56" s="31"/>
    </row>
    <row r="57" spans="2:47">
      <c r="B57" s="176" t="str">
        <f>IF(B9="COLLABORAZIONE COORDINATA E CONTINUATIVA","Relocation Netta","")</f>
        <v/>
      </c>
      <c r="C57" s="176"/>
      <c r="D57" s="176"/>
      <c r="E57" s="176"/>
      <c r="F57" s="176"/>
      <c r="G57" s="177"/>
      <c r="H57" s="177"/>
      <c r="I57" s="177"/>
      <c r="J57" s="177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B57" s="116"/>
      <c r="AC57" s="116"/>
      <c r="AD57" s="116"/>
      <c r="AE57" s="116"/>
      <c r="AF57" s="116"/>
      <c r="AG57" s="116"/>
      <c r="AH57" s="116"/>
      <c r="AK57" s="34"/>
      <c r="AL57" s="34"/>
      <c r="AM57" s="39"/>
      <c r="AN57" s="39"/>
      <c r="AT57" s="31"/>
      <c r="AU57" s="31"/>
    </row>
    <row r="58" spans="2:47"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B58" s="116"/>
      <c r="AC58" s="116"/>
      <c r="AD58" s="116"/>
      <c r="AE58" s="116"/>
      <c r="AF58" s="116"/>
      <c r="AG58" s="116"/>
      <c r="AH58" s="116"/>
      <c r="AK58" s="34"/>
      <c r="AL58" s="34"/>
      <c r="AM58" s="39"/>
      <c r="AN58" s="39"/>
      <c r="AT58" s="31"/>
      <c r="AU58" s="31"/>
    </row>
    <row r="59" spans="2:47">
      <c r="B59" s="185" t="str">
        <f>IF(B9="CONSULENZA",IF(OR(D60="",I60="",M60="",AF60=""),"Si prega di compilare obbligatoriamente i seguenti campi o inserire la dicitura N/A",""),"")</f>
        <v/>
      </c>
      <c r="C59" s="185"/>
      <c r="D59" s="185"/>
      <c r="E59" s="185"/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185"/>
      <c r="AB59" s="185"/>
      <c r="AC59" s="185"/>
      <c r="AD59" s="185"/>
      <c r="AE59" s="185"/>
      <c r="AF59" s="185"/>
      <c r="AG59" s="185"/>
      <c r="AH59" s="185"/>
      <c r="AK59" s="34"/>
      <c r="AL59" s="34"/>
      <c r="AM59" s="39"/>
      <c r="AN59" s="39"/>
      <c r="AT59" s="31"/>
      <c r="AU59" s="31"/>
    </row>
    <row r="60" spans="2:47" ht="24" customHeight="1">
      <c r="B60" s="114" t="str">
        <f>IF($B$9="consulenza","IVA: ","")</f>
        <v/>
      </c>
      <c r="C60" s="114"/>
      <c r="D60" s="109"/>
      <c r="E60" s="109"/>
      <c r="H60" s="12" t="str">
        <f>IF($B$9="consulenza","Cassa: ","")</f>
        <v/>
      </c>
      <c r="I60" s="109"/>
      <c r="J60" s="109"/>
      <c r="L60" s="41" t="str">
        <f>IF($B$9="consulenza","Inps:","")</f>
        <v/>
      </c>
      <c r="M60" s="109"/>
      <c r="N60" s="109"/>
      <c r="P60" s="114" t="str">
        <f>IF($B$9="consulenza","Esente/Non imponibile IVA (altri casi rispetto al caso fondi EU) ","")</f>
        <v/>
      </c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  <c r="AC60" s="114"/>
      <c r="AD60" s="114"/>
      <c r="AE60" s="114"/>
      <c r="AF60" s="109"/>
      <c r="AG60" s="109"/>
      <c r="AH60" s="40"/>
      <c r="AK60" s="34" t="s">
        <v>62</v>
      </c>
      <c r="AL60" s="34"/>
      <c r="AM60" s="39">
        <f>SUM(AM51:AM56)</f>
        <v>0</v>
      </c>
      <c r="AN60" s="39">
        <f>SUM(AN51:AN56)</f>
        <v>0</v>
      </c>
      <c r="AU60" s="31"/>
    </row>
    <row r="61" spans="2:47" ht="25" customHeight="1">
      <c r="D61" s="58"/>
      <c r="E61" s="58"/>
      <c r="I61" s="58"/>
      <c r="J61" s="58"/>
      <c r="L61" s="41"/>
      <c r="M61" s="58"/>
      <c r="N61" s="58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8"/>
      <c r="AG61" s="58"/>
      <c r="AH61" s="62"/>
      <c r="AK61" s="34"/>
      <c r="AL61" s="34"/>
      <c r="AM61" s="45">
        <f>IF($Z$13="SI",0,1)</f>
        <v>1</v>
      </c>
      <c r="AN61" s="45">
        <f>IF($Z$13="SI",1,0)</f>
        <v>0</v>
      </c>
      <c r="AT61" s="31"/>
      <c r="AU61" s="31"/>
    </row>
    <row r="62" spans="2:47" ht="58" customHeight="1">
      <c r="B62" s="67" t="str">
        <f>IF(B9="CONSULENZA","Imposta di bollo","")</f>
        <v/>
      </c>
      <c r="C62" s="67"/>
      <c r="D62" s="67"/>
      <c r="E62" s="70"/>
      <c r="F62" s="68"/>
      <c r="G62" s="71"/>
      <c r="H62" s="71"/>
      <c r="I62" s="178" t="b">
        <f>IF(B9="CONSULENZA ESTERA",IF(I66=I48,"","Attenzione! Il campo Costo Totale è diverso da Importo Totale"))</f>
        <v>0</v>
      </c>
      <c r="J62" s="178"/>
      <c r="K62" s="178"/>
      <c r="L62" s="178"/>
      <c r="M62" s="178"/>
      <c r="N62" s="178"/>
      <c r="O62" s="178"/>
      <c r="P62" s="178"/>
      <c r="R62" s="61"/>
      <c r="S62" s="61"/>
      <c r="T62" s="61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8"/>
      <c r="AG62" s="58"/>
      <c r="AH62" s="62"/>
      <c r="AK62" s="36" t="s">
        <v>63</v>
      </c>
      <c r="AL62" s="36"/>
      <c r="AM62" s="37" t="s">
        <v>47</v>
      </c>
      <c r="AN62" s="37" t="s">
        <v>22</v>
      </c>
      <c r="AT62" s="31"/>
      <c r="AU62" s="31"/>
    </row>
    <row r="63" spans="2:47" ht="25" customHeight="1">
      <c r="D63" s="58"/>
      <c r="E63" s="58"/>
      <c r="I63" s="178"/>
      <c r="J63" s="178"/>
      <c r="K63" s="178"/>
      <c r="L63" s="178"/>
      <c r="M63" s="178"/>
      <c r="N63" s="178"/>
      <c r="O63" s="178"/>
      <c r="P63" s="178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8"/>
      <c r="AG63" s="58"/>
      <c r="AH63" s="62"/>
      <c r="AK63" s="34" t="s">
        <v>16</v>
      </c>
      <c r="AL63" s="34"/>
      <c r="AM63" s="39">
        <f>$I$48</f>
        <v>0</v>
      </c>
      <c r="AN63" s="39">
        <f>$I$48</f>
        <v>0</v>
      </c>
      <c r="AT63" s="31"/>
      <c r="AU63" s="31"/>
    </row>
    <row r="64" spans="2:47" ht="25" customHeight="1">
      <c r="B64" s="146" t="str">
        <f>IF(AND(B9="COLLABORAZIONE AUTONOMA OCCASIONALE",Q53&lt;&gt;0),"Aliquota INPS:","")</f>
        <v/>
      </c>
      <c r="C64" s="146"/>
      <c r="D64" s="146"/>
      <c r="E64" s="188"/>
      <c r="F64" s="188"/>
      <c r="G64" s="188"/>
      <c r="H64" s="188"/>
      <c r="I64" s="81"/>
      <c r="J64" s="81"/>
      <c r="K64" s="81"/>
      <c r="L64" s="81"/>
      <c r="M64" s="82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8"/>
      <c r="AG64" s="58"/>
      <c r="AH64" s="62"/>
      <c r="AK64" s="42" t="s">
        <v>60</v>
      </c>
      <c r="AL64" s="42"/>
      <c r="AM64" s="42">
        <f>(Q53*AL6)/3*2</f>
        <v>0</v>
      </c>
      <c r="AN64" s="43">
        <f>(Q53*AM6)/3*2</f>
        <v>0</v>
      </c>
      <c r="AU64" s="31"/>
    </row>
    <row r="65" spans="2:47" ht="25" customHeight="1" thickBot="1">
      <c r="D65" s="58"/>
      <c r="E65" s="58"/>
      <c r="I65" s="80"/>
      <c r="J65" s="80"/>
      <c r="K65" s="80"/>
      <c r="L65" s="80"/>
      <c r="M65" s="80"/>
      <c r="N65" s="80"/>
      <c r="O65" s="80"/>
      <c r="P65" s="80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8"/>
      <c r="AG65" s="58"/>
      <c r="AH65" s="62"/>
      <c r="AK65" s="34"/>
      <c r="AL65" s="34"/>
      <c r="AM65" s="39">
        <f>IF(AND(B9="COLLABORAZIONE AUTONOMA OCCASIONALE",AM63&gt;5000),SUM(AM63,AM52),SUM(AM63:AM64))</f>
        <v>0</v>
      </c>
      <c r="AN65" s="39">
        <f>SUM(AN63:AN64)</f>
        <v>0</v>
      </c>
      <c r="AT65" s="31"/>
      <c r="AU65" s="31"/>
    </row>
    <row r="66" spans="2:47" ht="25" customHeight="1" thickBot="1">
      <c r="B66" s="118" t="s">
        <v>43</v>
      </c>
      <c r="C66" s="118"/>
      <c r="D66" s="118"/>
      <c r="E66" s="118"/>
      <c r="F66" s="118"/>
      <c r="G66" s="118"/>
      <c r="H66" s="118"/>
      <c r="I66" s="173" t="str">
        <f>(IF(B9="Collaborazione coordinata e continuativa",$AM$60*$AM$61+$AN$60*$AN$61,IF(B9="collaborazione autonoma occasionale",IF(E64="Piena",AM65,AN65),IF(B9="Consulenza",AM75,IF(B9="Consulenza estera",AM75,"Scegliere tipologia contratto")))))</f>
        <v>Scegliere tipologia contratto</v>
      </c>
      <c r="J66" s="174"/>
      <c r="K66" s="174"/>
      <c r="L66" s="174"/>
      <c r="M66" s="174"/>
      <c r="N66" s="174"/>
      <c r="O66" s="174"/>
      <c r="P66" s="175"/>
      <c r="AA66" s="144" t="str">
        <f>IF($B$9="collaborazione occasionale","Richiesta attivazione account o alias @cmcc.it?","")</f>
        <v/>
      </c>
      <c r="AB66" s="144"/>
      <c r="AC66" s="144"/>
      <c r="AD66" s="144"/>
      <c r="AE66" s="144"/>
      <c r="AF66" s="144"/>
      <c r="AG66" s="144"/>
      <c r="AH66" s="144"/>
      <c r="AK66" s="36"/>
      <c r="AL66" s="34"/>
      <c r="AM66" s="45">
        <f>IF($Z$13="SI",0,1)</f>
        <v>1</v>
      </c>
      <c r="AN66" s="45">
        <f>IF($Z$13="SI",1,0)</f>
        <v>0</v>
      </c>
      <c r="AT66" s="31"/>
      <c r="AU66" s="31"/>
    </row>
    <row r="67" spans="2:47" ht="25" customHeight="1" thickBot="1">
      <c r="B67" s="40"/>
      <c r="C67" s="40"/>
      <c r="D67" s="40"/>
      <c r="E67" s="40"/>
      <c r="F67" s="40"/>
      <c r="G67" s="40"/>
      <c r="H67" s="40"/>
      <c r="I67" s="44" t="str">
        <f>IF($B$9="consulenza","citare normativa per la non imponibilità/esenzione",IF($B$9="Consulenza estera","citare normativa per la non imponibilità/esenzione",""))</f>
        <v/>
      </c>
      <c r="J67" s="40"/>
      <c r="K67" s="40"/>
      <c r="L67" s="40"/>
      <c r="M67" s="40"/>
      <c r="N67" s="40"/>
      <c r="O67" s="40"/>
      <c r="Q67" s="40"/>
      <c r="W67" s="40"/>
      <c r="X67" s="40"/>
      <c r="Y67" s="40"/>
      <c r="Z67" s="40"/>
      <c r="AA67" s="144"/>
      <c r="AB67" s="144"/>
      <c r="AC67" s="144"/>
      <c r="AD67" s="144"/>
      <c r="AE67" s="144"/>
      <c r="AF67" s="144"/>
      <c r="AG67" s="144"/>
      <c r="AH67" s="144"/>
      <c r="AK67" s="36" t="s">
        <v>45</v>
      </c>
      <c r="AL67" s="36"/>
      <c r="AM67" s="34"/>
      <c r="AN67" s="34"/>
    </row>
    <row r="68" spans="2:47" ht="25" customHeight="1" thickBot="1">
      <c r="B68" s="179" t="str">
        <f>IF(I51="SI","Costo totale inclusivo di Welfare","")</f>
        <v/>
      </c>
      <c r="C68" s="179"/>
      <c r="D68" s="179"/>
      <c r="E68" s="179"/>
      <c r="F68" s="179"/>
      <c r="G68" s="179"/>
      <c r="H68" s="179"/>
      <c r="I68" s="173" t="str">
        <f>IF(I51="SI",IF(B9="Collaborazione coordinata e continuativa",$AM$60*$AM$61+$AN$60*$AN$61,IF(B9="collaborazione autonoma occasionale",AM65*AM66+AN65*AN66,IF(B9="Consulenza",AM75,IF(B9="Consulenza estera",AM75,"Scegliere tipologia contratto"))))+AK25,"")</f>
        <v/>
      </c>
      <c r="J68" s="174"/>
      <c r="K68" s="174"/>
      <c r="L68" s="174"/>
      <c r="M68" s="174"/>
      <c r="N68" s="174"/>
      <c r="O68" s="174"/>
      <c r="P68" s="175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K68" s="34" t="s">
        <v>46</v>
      </c>
      <c r="AL68" s="34"/>
      <c r="AM68" s="39">
        <f>$I$48</f>
        <v>0</v>
      </c>
      <c r="AN68" s="47"/>
    </row>
    <row r="69" spans="2:47" ht="25" customHeight="1">
      <c r="B69" s="179"/>
      <c r="C69" s="179"/>
      <c r="D69" s="179"/>
      <c r="E69" s="179"/>
      <c r="F69" s="179"/>
      <c r="G69" s="179"/>
      <c r="H69" s="179"/>
      <c r="I69" s="27"/>
      <c r="J69" s="27"/>
      <c r="K69" s="27"/>
      <c r="L69" s="27"/>
      <c r="M69" s="27"/>
      <c r="N69" s="27"/>
      <c r="O69" s="27"/>
      <c r="P69" s="27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K69" s="42" t="s">
        <v>8</v>
      </c>
      <c r="AL69" s="42"/>
      <c r="AM69" s="43">
        <f>AM68*$I$60</f>
        <v>0</v>
      </c>
      <c r="AN69" s="47"/>
    </row>
    <row r="70" spans="2:47" ht="25" customHeight="1">
      <c r="B70" s="118" t="s">
        <v>44</v>
      </c>
      <c r="C70" s="118"/>
      <c r="D70" s="118"/>
      <c r="E70" s="118"/>
      <c r="F70" s="118"/>
      <c r="G70" s="118"/>
      <c r="H70" s="186"/>
      <c r="I70" s="150"/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/>
      <c r="V70" s="151"/>
      <c r="W70" s="151"/>
      <c r="X70" s="151"/>
      <c r="Y70" s="151"/>
      <c r="Z70" s="151"/>
      <c r="AA70" s="151"/>
      <c r="AB70" s="151"/>
      <c r="AC70" s="151"/>
      <c r="AD70" s="151"/>
      <c r="AE70" s="151"/>
      <c r="AF70" s="151"/>
      <c r="AG70" s="151"/>
      <c r="AH70" s="152"/>
      <c r="AK70" s="34" t="s">
        <v>9</v>
      </c>
      <c r="AL70" s="34"/>
      <c r="AM70" s="39">
        <f>AM68+AM69</f>
        <v>0</v>
      </c>
      <c r="AN70" s="47"/>
    </row>
    <row r="71" spans="2:47" ht="25" customHeight="1">
      <c r="B71" s="118"/>
      <c r="C71" s="118"/>
      <c r="D71" s="118"/>
      <c r="E71" s="118"/>
      <c r="F71" s="118"/>
      <c r="G71" s="118"/>
      <c r="H71" s="186"/>
      <c r="I71" s="153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20"/>
      <c r="AB71" s="120"/>
      <c r="AC71" s="120"/>
      <c r="AD71" s="120"/>
      <c r="AE71" s="120"/>
      <c r="AF71" s="120"/>
      <c r="AG71" s="120"/>
      <c r="AH71" s="154"/>
      <c r="AK71" s="42" t="s">
        <v>34</v>
      </c>
      <c r="AL71" s="42"/>
      <c r="AM71" s="48">
        <f>AM70*$M$60</f>
        <v>0</v>
      </c>
      <c r="AN71" s="47"/>
    </row>
    <row r="72" spans="2:47" ht="25" customHeight="1">
      <c r="B72" s="118"/>
      <c r="C72" s="118"/>
      <c r="D72" s="118"/>
      <c r="E72" s="118"/>
      <c r="F72" s="118"/>
      <c r="G72" s="118"/>
      <c r="H72" s="186"/>
      <c r="I72" s="155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56"/>
      <c r="AK72" s="49" t="s">
        <v>35</v>
      </c>
      <c r="AL72" s="49"/>
      <c r="AM72" s="50">
        <f>AM70+AM71</f>
        <v>0</v>
      </c>
      <c r="AN72" s="34"/>
    </row>
    <row r="73" spans="2:47" ht="25" customHeight="1">
      <c r="AK73" s="34" t="s">
        <v>48</v>
      </c>
      <c r="AL73" s="34"/>
      <c r="AM73" s="39">
        <f>IF($AF$60="SI",0,AM72*(1-$Z$39))</f>
        <v>0</v>
      </c>
      <c r="AN73" s="34" t="s">
        <v>53</v>
      </c>
    </row>
    <row r="74" spans="2:47" ht="46" customHeight="1">
      <c r="B74" s="146" t="s">
        <v>234</v>
      </c>
      <c r="C74" s="147"/>
      <c r="D74" s="147"/>
      <c r="E74" s="147"/>
      <c r="F74" s="147"/>
      <c r="G74" s="147"/>
      <c r="H74" s="147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  <c r="AA74" s="148"/>
      <c r="AB74" s="148"/>
      <c r="AC74" s="148"/>
      <c r="AD74" s="148"/>
      <c r="AE74" s="148"/>
      <c r="AF74" s="148"/>
      <c r="AG74" s="148"/>
      <c r="AH74" s="148"/>
      <c r="AK74" s="42" t="s">
        <v>54</v>
      </c>
      <c r="AL74" s="42"/>
      <c r="AM74" s="48">
        <f>AM73*$D$60</f>
        <v>0</v>
      </c>
      <c r="AN74" s="34"/>
    </row>
    <row r="75" spans="2:47" ht="57" customHeight="1" thickBot="1">
      <c r="B75" s="149"/>
      <c r="C75" s="149"/>
      <c r="D75" s="149"/>
      <c r="E75" s="149"/>
      <c r="F75" s="149"/>
      <c r="G75" s="149"/>
      <c r="H75" s="149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K75" s="34" t="s">
        <v>55</v>
      </c>
      <c r="AL75" s="34"/>
      <c r="AM75" s="39">
        <f>AM72+AM74</f>
        <v>0</v>
      </c>
      <c r="AN75" s="34"/>
    </row>
    <row r="76" spans="2:47" ht="25" customHeight="1" thickTop="1">
      <c r="AP76" s="32"/>
      <c r="AQ76" s="32"/>
    </row>
    <row r="77" spans="2:47" ht="98" customHeight="1">
      <c r="L77" s="182" t="s">
        <v>233</v>
      </c>
      <c r="M77" s="182"/>
      <c r="N77" s="182"/>
      <c r="O77" s="182"/>
      <c r="P77" s="182"/>
      <c r="Q77" s="182"/>
      <c r="R77" s="182"/>
      <c r="S77" s="182"/>
      <c r="T77" s="145" t="s">
        <v>238</v>
      </c>
      <c r="U77" s="145"/>
      <c r="V77" s="145"/>
      <c r="W77" s="145"/>
      <c r="X77" s="145"/>
      <c r="Y77" s="145"/>
      <c r="Z77" s="157"/>
      <c r="AA77" s="157"/>
      <c r="AB77" s="157"/>
      <c r="AC77" s="157"/>
      <c r="AD77" s="157"/>
      <c r="AE77" s="157"/>
      <c r="AF77" s="157"/>
      <c r="AG77" s="157"/>
      <c r="AH77" s="157"/>
      <c r="AP77" s="32"/>
      <c r="AQ77" s="32"/>
      <c r="AS77" s="20" t="s">
        <v>107</v>
      </c>
      <c r="AT77" s="20" t="s">
        <v>72</v>
      </c>
    </row>
    <row r="78" spans="2:47" ht="25" customHeight="1">
      <c r="AP78" s="32"/>
      <c r="AQ78" s="32"/>
      <c r="AS78" t="s">
        <v>141</v>
      </c>
      <c r="AT78" s="12" t="s">
        <v>90</v>
      </c>
    </row>
    <row r="79" spans="2:47" ht="25" customHeight="1">
      <c r="B79" s="27" t="s">
        <v>211</v>
      </c>
      <c r="T79" s="114" t="s">
        <v>236</v>
      </c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S79" t="s">
        <v>142</v>
      </c>
      <c r="AT79" s="12" t="s">
        <v>91</v>
      </c>
    </row>
    <row r="80" spans="2:47" ht="25" customHeight="1">
      <c r="H80" s="38"/>
      <c r="T80" s="99" t="s">
        <v>70</v>
      </c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1"/>
      <c r="AS80" t="s">
        <v>143</v>
      </c>
      <c r="AT80" s="12" t="s">
        <v>92</v>
      </c>
    </row>
    <row r="81" spans="2:46" ht="29" customHeight="1">
      <c r="B81" s="190"/>
      <c r="C81" s="190"/>
      <c r="D81" s="190"/>
      <c r="E81" s="190"/>
      <c r="F81" s="190"/>
      <c r="G81" s="190"/>
      <c r="H81" s="190"/>
      <c r="T81" s="102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4"/>
      <c r="AS81" t="s">
        <v>144</v>
      </c>
      <c r="AT81" s="12" t="s">
        <v>114</v>
      </c>
    </row>
    <row r="82" spans="2:46">
      <c r="T82" s="102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4"/>
      <c r="AS82" t="s">
        <v>145</v>
      </c>
      <c r="AT82" s="12" t="s">
        <v>93</v>
      </c>
    </row>
    <row r="83" spans="2:46">
      <c r="T83" s="105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7"/>
      <c r="AS83" t="s">
        <v>146</v>
      </c>
      <c r="AT83" s="12" t="s">
        <v>230</v>
      </c>
    </row>
    <row r="84" spans="2:46">
      <c r="AS84" t="s">
        <v>147</v>
      </c>
      <c r="AT84" s="12" t="s">
        <v>94</v>
      </c>
    </row>
    <row r="85" spans="2:46" ht="98" customHeight="1">
      <c r="L85" s="182" t="s">
        <v>233</v>
      </c>
      <c r="M85" s="182"/>
      <c r="N85" s="182"/>
      <c r="O85" s="182"/>
      <c r="P85" s="182"/>
      <c r="Q85" s="182"/>
      <c r="R85" s="182"/>
      <c r="S85" s="182"/>
      <c r="T85" s="145" t="s">
        <v>239</v>
      </c>
      <c r="U85" s="145"/>
      <c r="V85" s="145"/>
      <c r="W85" s="145"/>
      <c r="X85" s="145"/>
      <c r="Y85" s="145"/>
      <c r="Z85" s="181"/>
      <c r="AA85" s="181"/>
      <c r="AB85" s="181"/>
      <c r="AC85" s="181"/>
      <c r="AD85" s="181"/>
      <c r="AE85" s="181"/>
      <c r="AF85" s="181"/>
      <c r="AG85" s="181"/>
      <c r="AH85" s="181"/>
      <c r="AS85" t="s">
        <v>148</v>
      </c>
      <c r="AT85" s="12" t="s">
        <v>95</v>
      </c>
    </row>
    <row r="86" spans="2:46">
      <c r="AS86" t="s">
        <v>149</v>
      </c>
      <c r="AT86" s="12" t="s">
        <v>96</v>
      </c>
    </row>
    <row r="87" spans="2:46">
      <c r="T87" s="114" t="s">
        <v>237</v>
      </c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S87" t="s">
        <v>150</v>
      </c>
    </row>
    <row r="88" spans="2:46" ht="14.5" customHeight="1">
      <c r="T88" s="99" t="s">
        <v>70</v>
      </c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1"/>
      <c r="AS88" t="s">
        <v>151</v>
      </c>
    </row>
    <row r="89" spans="2:46">
      <c r="T89" s="102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4"/>
      <c r="AS89" t="s">
        <v>152</v>
      </c>
    </row>
    <row r="90" spans="2:46">
      <c r="T90" s="102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4"/>
      <c r="AS90" t="s">
        <v>153</v>
      </c>
    </row>
    <row r="91" spans="2:46">
      <c r="T91" s="105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  <c r="AH91" s="107"/>
      <c r="AS91" t="s">
        <v>154</v>
      </c>
    </row>
    <row r="92" spans="2:46">
      <c r="AS92" t="s">
        <v>155</v>
      </c>
    </row>
    <row r="93" spans="2:46" hidden="1">
      <c r="AS93" t="s">
        <v>156</v>
      </c>
    </row>
    <row r="94" spans="2:46" hidden="1">
      <c r="AS94" t="s">
        <v>157</v>
      </c>
    </row>
    <row r="95" spans="2:46" hidden="1">
      <c r="AS95" t="s">
        <v>158</v>
      </c>
    </row>
    <row r="96" spans="2:46" hidden="1">
      <c r="AS96" t="s">
        <v>159</v>
      </c>
    </row>
    <row r="97" spans="45:51" hidden="1">
      <c r="AS97" t="s">
        <v>160</v>
      </c>
    </row>
    <row r="98" spans="45:51" hidden="1">
      <c r="AS98" t="s">
        <v>161</v>
      </c>
    </row>
    <row r="99" spans="45:51" hidden="1">
      <c r="AS99" t="s">
        <v>162</v>
      </c>
    </row>
    <row r="100" spans="45:51" hidden="1">
      <c r="AS100" t="s">
        <v>163</v>
      </c>
    </row>
    <row r="101" spans="45:51" hidden="1">
      <c r="AS101" t="s">
        <v>164</v>
      </c>
    </row>
    <row r="102" spans="45:51" hidden="1">
      <c r="AS102" t="s">
        <v>165</v>
      </c>
    </row>
    <row r="103" spans="45:51" hidden="1">
      <c r="AS103" t="s">
        <v>166</v>
      </c>
    </row>
    <row r="104" spans="45:51" hidden="1">
      <c r="AS104" t="s">
        <v>167</v>
      </c>
    </row>
    <row r="105" spans="45:51" hidden="1">
      <c r="AS105" t="s">
        <v>212</v>
      </c>
    </row>
    <row r="106" spans="45:51" hidden="1">
      <c r="AS106" t="s">
        <v>168</v>
      </c>
    </row>
    <row r="107" spans="45:51" hidden="1">
      <c r="AS107" t="s">
        <v>169</v>
      </c>
    </row>
    <row r="108" spans="45:51" hidden="1">
      <c r="AS108" t="s">
        <v>170</v>
      </c>
      <c r="AU108" s="20" t="s">
        <v>115</v>
      </c>
      <c r="AV108" s="20" t="s">
        <v>65</v>
      </c>
      <c r="AX108" s="20"/>
      <c r="AY108" s="20"/>
    </row>
    <row r="109" spans="45:51" hidden="1">
      <c r="AS109" t="s">
        <v>171</v>
      </c>
      <c r="AT109" s="12" t="s">
        <v>59</v>
      </c>
      <c r="AU109" s="12" t="s">
        <v>116</v>
      </c>
    </row>
    <row r="110" spans="45:51" hidden="1">
      <c r="AS110" t="s">
        <v>172</v>
      </c>
      <c r="AU110" s="12" t="s">
        <v>78</v>
      </c>
      <c r="AV110" s="12" t="s">
        <v>23</v>
      </c>
    </row>
    <row r="111" spans="45:51" hidden="1">
      <c r="AS111" t="s">
        <v>173</v>
      </c>
      <c r="AT111" s="12" t="s">
        <v>17</v>
      </c>
      <c r="AU111" s="12" t="s">
        <v>79</v>
      </c>
      <c r="AV111" s="12" t="s">
        <v>24</v>
      </c>
    </row>
    <row r="112" spans="45:51" hidden="1">
      <c r="AS112" t="s">
        <v>174</v>
      </c>
      <c r="AT112" s="12" t="s">
        <v>13</v>
      </c>
      <c r="AU112" s="12" t="s">
        <v>113</v>
      </c>
      <c r="AV112" s="12" t="s">
        <v>25</v>
      </c>
    </row>
    <row r="113" spans="45:48" hidden="1">
      <c r="AS113" t="s">
        <v>175</v>
      </c>
      <c r="AU113" s="12" t="s">
        <v>66</v>
      </c>
      <c r="AV113" s="12" t="s">
        <v>26</v>
      </c>
    </row>
    <row r="114" spans="45:48" hidden="1">
      <c r="AS114" t="s">
        <v>176</v>
      </c>
      <c r="AU114" s="12" t="s">
        <v>80</v>
      </c>
    </row>
    <row r="115" spans="45:48" hidden="1">
      <c r="AS115" t="s">
        <v>177</v>
      </c>
      <c r="AT115" s="12" t="s">
        <v>100</v>
      </c>
      <c r="AU115" s="12" t="s">
        <v>81</v>
      </c>
    </row>
    <row r="116" spans="45:48" hidden="1">
      <c r="AS116" t="s">
        <v>178</v>
      </c>
      <c r="AT116" s="12" t="s">
        <v>101</v>
      </c>
      <c r="AU116" s="12" t="s">
        <v>82</v>
      </c>
      <c r="AV116" s="51"/>
    </row>
    <row r="117" spans="45:48" hidden="1">
      <c r="AS117" t="s">
        <v>179</v>
      </c>
      <c r="AT117" s="12" t="s">
        <v>102</v>
      </c>
      <c r="AU117" s="12" t="s">
        <v>83</v>
      </c>
      <c r="AV117" s="51"/>
    </row>
    <row r="118" spans="45:48" hidden="1">
      <c r="AS118" t="s">
        <v>180</v>
      </c>
      <c r="AT118" s="12" t="s">
        <v>103</v>
      </c>
      <c r="AU118" s="12" t="s">
        <v>84</v>
      </c>
    </row>
    <row r="119" spans="45:48" hidden="1">
      <c r="AS119" t="s">
        <v>181</v>
      </c>
      <c r="AT119" s="12" t="s">
        <v>104</v>
      </c>
      <c r="AU119" s="12" t="s">
        <v>85</v>
      </c>
    </row>
    <row r="120" spans="45:48" hidden="1">
      <c r="AS120" t="s">
        <v>182</v>
      </c>
      <c r="AU120" s="12" t="s">
        <v>131</v>
      </c>
    </row>
    <row r="121" spans="45:48" hidden="1">
      <c r="AS121" t="s">
        <v>183</v>
      </c>
      <c r="AU121" s="12" t="s">
        <v>132</v>
      </c>
    </row>
    <row r="122" spans="45:48" hidden="1">
      <c r="AS122" t="s">
        <v>184</v>
      </c>
      <c r="AU122" s="12" t="s">
        <v>133</v>
      </c>
    </row>
    <row r="123" spans="45:48" hidden="1">
      <c r="AS123" t="s">
        <v>185</v>
      </c>
      <c r="AU123" s="12" t="s">
        <v>117</v>
      </c>
    </row>
    <row r="124" spans="45:48" hidden="1">
      <c r="AS124" t="s">
        <v>186</v>
      </c>
      <c r="AU124" s="12" t="s">
        <v>118</v>
      </c>
    </row>
    <row r="125" spans="45:48" hidden="1">
      <c r="AS125" t="s">
        <v>187</v>
      </c>
      <c r="AU125" s="12" t="s">
        <v>119</v>
      </c>
    </row>
    <row r="126" spans="45:48" hidden="1">
      <c r="AS126" t="s">
        <v>188</v>
      </c>
      <c r="AU126" s="12" t="s">
        <v>120</v>
      </c>
    </row>
    <row r="127" spans="45:48" hidden="1">
      <c r="AS127" t="s">
        <v>189</v>
      </c>
      <c r="AU127" s="12" t="s">
        <v>121</v>
      </c>
    </row>
    <row r="128" spans="45:48" hidden="1">
      <c r="AS128" t="s">
        <v>190</v>
      </c>
      <c r="AU128" s="12" t="s">
        <v>122</v>
      </c>
    </row>
    <row r="129" spans="45:47" hidden="1">
      <c r="AS129" t="s">
        <v>191</v>
      </c>
      <c r="AU129" s="12" t="s">
        <v>123</v>
      </c>
    </row>
    <row r="130" spans="45:47" hidden="1">
      <c r="AS130" t="s">
        <v>192</v>
      </c>
      <c r="AU130" s="12" t="s">
        <v>130</v>
      </c>
    </row>
    <row r="131" spans="45:47" hidden="1">
      <c r="AS131" t="s">
        <v>193</v>
      </c>
      <c r="AU131" s="12" t="s">
        <v>124</v>
      </c>
    </row>
    <row r="132" spans="45:47" hidden="1">
      <c r="AS132" t="s">
        <v>194</v>
      </c>
      <c r="AU132" s="12" t="s">
        <v>125</v>
      </c>
    </row>
    <row r="133" spans="45:47" hidden="1">
      <c r="AS133" t="s">
        <v>195</v>
      </c>
      <c r="AU133" s="12" t="s">
        <v>126</v>
      </c>
    </row>
    <row r="134" spans="45:47" hidden="1">
      <c r="AS134" t="s">
        <v>196</v>
      </c>
      <c r="AU134" s="12" t="s">
        <v>207</v>
      </c>
    </row>
    <row r="135" spans="45:47" hidden="1">
      <c r="AS135" t="s">
        <v>231</v>
      </c>
      <c r="AU135" s="12" t="s">
        <v>208</v>
      </c>
    </row>
    <row r="136" spans="45:47" hidden="1">
      <c r="AS136" t="s">
        <v>197</v>
      </c>
      <c r="AU136" s="12" t="s">
        <v>127</v>
      </c>
    </row>
    <row r="137" spans="45:47" hidden="1">
      <c r="AS137" t="s">
        <v>198</v>
      </c>
      <c r="AU137" s="12" t="s">
        <v>135</v>
      </c>
    </row>
    <row r="138" spans="45:47" hidden="1">
      <c r="AS138" t="s">
        <v>199</v>
      </c>
      <c r="AU138" s="12" t="s">
        <v>136</v>
      </c>
    </row>
    <row r="139" spans="45:47" hidden="1">
      <c r="AS139" t="s">
        <v>200</v>
      </c>
      <c r="AU139" s="12" t="s">
        <v>137</v>
      </c>
    </row>
    <row r="140" spans="45:47" hidden="1">
      <c r="AS140" t="s">
        <v>201</v>
      </c>
      <c r="AU140" s="12" t="s">
        <v>138</v>
      </c>
    </row>
    <row r="141" spans="45:47" hidden="1">
      <c r="AS141" t="s">
        <v>202</v>
      </c>
    </row>
    <row r="142" spans="45:47" hidden="1">
      <c r="AS142" t="s">
        <v>203</v>
      </c>
    </row>
    <row r="143" spans="45:47" hidden="1">
      <c r="AS143" t="s">
        <v>204</v>
      </c>
    </row>
    <row r="144" spans="45:47" hidden="1">
      <c r="AS144" s="84" t="s">
        <v>206</v>
      </c>
    </row>
  </sheetData>
  <sheetProtection algorithmName="SHA-512" hashValue="IBmtPhFd2baB5TtdIIuT0oWFTFa2OvAzJPgnxZsVLcw9cvRIgdwiWFwoy7FF/RZz6FfQ287dnkK5jgv6tAsn+w==" saltValue="gRkMbJabnWACJzTaAgv8fQ==" spinCount="100000" sheet="1" formatCells="0" formatRows="0"/>
  <dataConsolidate/>
  <mergeCells count="114">
    <mergeCell ref="T85:Y85"/>
    <mergeCell ref="Z85:AH85"/>
    <mergeCell ref="T87:AH87"/>
    <mergeCell ref="T88:AH91"/>
    <mergeCell ref="L85:S85"/>
    <mergeCell ref="T79:AH79"/>
    <mergeCell ref="AF60:AG60"/>
    <mergeCell ref="I37:R37"/>
    <mergeCell ref="Z43:AH43"/>
    <mergeCell ref="I66:P66"/>
    <mergeCell ref="AB45:AH47"/>
    <mergeCell ref="I45:O47"/>
    <mergeCell ref="I60:J60"/>
    <mergeCell ref="B59:AH59"/>
    <mergeCell ref="B70:H72"/>
    <mergeCell ref="W51:AB51"/>
    <mergeCell ref="AC51:AH51"/>
    <mergeCell ref="G55:H55"/>
    <mergeCell ref="E64:H64"/>
    <mergeCell ref="B64:D64"/>
    <mergeCell ref="B53:P53"/>
    <mergeCell ref="B66:H66"/>
    <mergeCell ref="L77:S77"/>
    <mergeCell ref="B81:H81"/>
    <mergeCell ref="I18:R18"/>
    <mergeCell ref="T35:Y35"/>
    <mergeCell ref="B35:H35"/>
    <mergeCell ref="B37:H37"/>
    <mergeCell ref="I35:R35"/>
    <mergeCell ref="B22:K22"/>
    <mergeCell ref="V18:Y18"/>
    <mergeCell ref="Z18:AH18"/>
    <mergeCell ref="B20:H20"/>
    <mergeCell ref="I62:P63"/>
    <mergeCell ref="B68:H69"/>
    <mergeCell ref="B51:H51"/>
    <mergeCell ref="Z37:AH37"/>
    <mergeCell ref="T37:Y37"/>
    <mergeCell ref="Z41:AH41"/>
    <mergeCell ref="B48:H48"/>
    <mergeCell ref="B43:H43"/>
    <mergeCell ref="Z35:AH35"/>
    <mergeCell ref="P60:AE60"/>
    <mergeCell ref="AA66:AH67"/>
    <mergeCell ref="T77:Y77"/>
    <mergeCell ref="B74:H74"/>
    <mergeCell ref="I74:AH74"/>
    <mergeCell ref="B75:H75"/>
    <mergeCell ref="I70:AH72"/>
    <mergeCell ref="Z77:AH77"/>
    <mergeCell ref="A1:AI1"/>
    <mergeCell ref="A2:AI2"/>
    <mergeCell ref="A3:AI3"/>
    <mergeCell ref="B9:P9"/>
    <mergeCell ref="B8:J8"/>
    <mergeCell ref="A4:H7"/>
    <mergeCell ref="I4:AB7"/>
    <mergeCell ref="AC5:AI5"/>
    <mergeCell ref="AC7:AI7"/>
    <mergeCell ref="AC6:AI6"/>
    <mergeCell ref="K16:AI16"/>
    <mergeCell ref="I68:P68"/>
    <mergeCell ref="B57:F57"/>
    <mergeCell ref="G57:J57"/>
    <mergeCell ref="D60:E60"/>
    <mergeCell ref="B60:C60"/>
    <mergeCell ref="AK4:AM4"/>
    <mergeCell ref="Z13:AH13"/>
    <mergeCell ref="Z25:AD25"/>
    <mergeCell ref="I30:AH33"/>
    <mergeCell ref="I11:AH11"/>
    <mergeCell ref="I15:J15"/>
    <mergeCell ref="AL45:AN45"/>
    <mergeCell ref="I43:R43"/>
    <mergeCell ref="AF48:AH48"/>
    <mergeCell ref="Z39:AA39"/>
    <mergeCell ref="T43:Y43"/>
    <mergeCell ref="Q48:V48"/>
    <mergeCell ref="W48:Y48"/>
    <mergeCell ref="I48:O48"/>
    <mergeCell ref="I41:R41"/>
    <mergeCell ref="AB48:AE48"/>
    <mergeCell ref="T41:Y41"/>
    <mergeCell ref="L22:O22"/>
    <mergeCell ref="S22:Y22"/>
    <mergeCell ref="B39:Y39"/>
    <mergeCell ref="B11:H11"/>
    <mergeCell ref="B15:H15"/>
    <mergeCell ref="B13:J13"/>
    <mergeCell ref="K15:AI15"/>
    <mergeCell ref="T80:AH83"/>
    <mergeCell ref="K13:X13"/>
    <mergeCell ref="M60:N60"/>
    <mergeCell ref="O25:T25"/>
    <mergeCell ref="B16:H17"/>
    <mergeCell ref="AA49:AH49"/>
    <mergeCell ref="I51:K51"/>
    <mergeCell ref="Y55:AA55"/>
    <mergeCell ref="Q53:W53"/>
    <mergeCell ref="AB55:AH58"/>
    <mergeCell ref="N55:Q55"/>
    <mergeCell ref="S55:U55"/>
    <mergeCell ref="V55:X55"/>
    <mergeCell ref="B18:H18"/>
    <mergeCell ref="B25:H25"/>
    <mergeCell ref="I27:AH28"/>
    <mergeCell ref="B30:H33"/>
    <mergeCell ref="I25:L25"/>
    <mergeCell ref="U25:X25"/>
    <mergeCell ref="AE25:AH25"/>
    <mergeCell ref="B27:H28"/>
    <mergeCell ref="Z22:AH22"/>
    <mergeCell ref="I20:R20"/>
    <mergeCell ref="B41:H41"/>
  </mergeCells>
  <phoneticPr fontId="7" type="noConversion"/>
  <conditionalFormatting sqref="A24:AI92">
    <cfRule type="expression" dxfId="34" priority="13">
      <formula>IF($I$15="",1,0)</formula>
    </cfRule>
  </conditionalFormatting>
  <conditionalFormatting sqref="B39">
    <cfRule type="expression" dxfId="33" priority="62" stopIfTrue="1">
      <formula>IF($B$9="Consulenza",1,0)</formula>
    </cfRule>
  </conditionalFormatting>
  <conditionalFormatting sqref="B81">
    <cfRule type="expression" dxfId="32" priority="19">
      <formula>IF($B$57="",1,0)</formula>
    </cfRule>
  </conditionalFormatting>
  <conditionalFormatting sqref="D60:E60">
    <cfRule type="expression" dxfId="31" priority="38" stopIfTrue="1">
      <formula>IF($B$9="CONSULENZA",1,0)</formula>
    </cfRule>
  </conditionalFormatting>
  <conditionalFormatting sqref="E64:H64">
    <cfRule type="expression" dxfId="30" priority="26">
      <formula>IF(AND($B$9="COLLABORAZIONE AUTONOMA OCCASIONALE",$Q$53&lt;&gt;0),1,0)</formula>
    </cfRule>
  </conditionalFormatting>
  <conditionalFormatting sqref="F62">
    <cfRule type="expression" dxfId="29" priority="28">
      <formula>IF($B$62="",1,0)</formula>
    </cfRule>
  </conditionalFormatting>
  <conditionalFormatting sqref="G55:H55">
    <cfRule type="expression" dxfId="28" priority="23">
      <formula>IF(ISERROR(SEARCH("23102405",$I$41)),1,0)</formula>
    </cfRule>
  </conditionalFormatting>
  <conditionalFormatting sqref="G57:J57">
    <cfRule type="expression" dxfId="27" priority="30">
      <formula>IF($B$57="",1,0)</formula>
    </cfRule>
  </conditionalFormatting>
  <conditionalFormatting sqref="I62">
    <cfRule type="expression" dxfId="26" priority="34" stopIfTrue="1">
      <formula>IF($B$9="CONSULENZA ESTERA",1,0)</formula>
    </cfRule>
  </conditionalFormatting>
  <conditionalFormatting sqref="I67">
    <cfRule type="expression" dxfId="25" priority="60" stopIfTrue="1">
      <formula>IF($B$9="consulente",1,0)</formula>
    </cfRule>
  </conditionalFormatting>
  <conditionalFormatting sqref="I74">
    <cfRule type="expression" dxfId="24" priority="11">
      <formula>IF($I$15="",0,1)</formula>
    </cfRule>
  </conditionalFormatting>
  <conditionalFormatting sqref="I60:J60">
    <cfRule type="expression" dxfId="23" priority="37" stopIfTrue="1">
      <formula>IF($B$9="CONSULENZA",1,0)</formula>
    </cfRule>
  </conditionalFormatting>
  <conditionalFormatting sqref="I51:K51">
    <cfRule type="expression" dxfId="22" priority="32" stopIfTrue="1">
      <formula>IF($B$51="",1,0)</formula>
    </cfRule>
  </conditionalFormatting>
  <conditionalFormatting sqref="I68:P68">
    <cfRule type="expression" dxfId="21" priority="29" stopIfTrue="1">
      <formula>IF($I$51="",1,0)</formula>
    </cfRule>
  </conditionalFormatting>
  <conditionalFormatting sqref="I18:R18">
    <cfRule type="expression" dxfId="20" priority="17" stopIfTrue="1">
      <formula>IF($B$18="Indicare modalità di selezione",1,0)</formula>
    </cfRule>
  </conditionalFormatting>
  <conditionalFormatting sqref="I20:R20">
    <cfRule type="expression" dxfId="19" priority="16" stopIfTrue="1">
      <formula>IF($B$20="Data colloquio",1,0)</formula>
    </cfRule>
  </conditionalFormatting>
  <conditionalFormatting sqref="I43:R43">
    <cfRule type="expression" dxfId="18" priority="25">
      <formula>IF(ISERROR(SEARCH("23102405",$I$41)),1,0)</formula>
    </cfRule>
  </conditionalFormatting>
  <conditionalFormatting sqref="K15:AI15">
    <cfRule type="expression" dxfId="17" priority="21">
      <formula>IF($I$15="",1,0)</formula>
    </cfRule>
  </conditionalFormatting>
  <conditionalFormatting sqref="M60:N60">
    <cfRule type="expression" dxfId="16" priority="36" stopIfTrue="1">
      <formula>IF($B$9="CONSULENZA",1,0)</formula>
    </cfRule>
  </conditionalFormatting>
  <conditionalFormatting sqref="N55:Q55">
    <cfRule type="expression" dxfId="15" priority="22">
      <formula>IF(ISERROR(SEARCH("23102405",$I$41)),1,0)</formula>
    </cfRule>
  </conditionalFormatting>
  <conditionalFormatting sqref="Q53:W53">
    <cfRule type="expression" dxfId="14" priority="40">
      <formula>IF($B$53="Se occasionale: indicare importo soggetto a contributi INPS:  ",1,0)</formula>
    </cfRule>
  </conditionalFormatting>
  <conditionalFormatting sqref="T79:AH83">
    <cfRule type="expression" dxfId="13" priority="2">
      <formula>IF($Z$77="",1,0)</formula>
    </cfRule>
  </conditionalFormatting>
  <conditionalFormatting sqref="T87:AH91">
    <cfRule type="expression" dxfId="12" priority="1" stopIfTrue="1">
      <formula>IF($Z$85="",1,0)</formula>
    </cfRule>
  </conditionalFormatting>
  <conditionalFormatting sqref="Y13:AH13 K13">
    <cfRule type="expression" dxfId="11" priority="31">
      <formula>IF($B$13="",1,0)</formula>
    </cfRule>
  </conditionalFormatting>
  <conditionalFormatting sqref="Z22">
    <cfRule type="expression" dxfId="10" priority="64" stopIfTrue="1">
      <formula>IF($S$22="Comunicazione Compensi",1,0)</formula>
    </cfRule>
  </conditionalFormatting>
  <conditionalFormatting sqref="Z43">
    <cfRule type="expression" dxfId="9" priority="51" stopIfTrue="1">
      <formula>IF($B$9&lt;&gt;"consulenza",1,0)</formula>
    </cfRule>
  </conditionalFormatting>
  <conditionalFormatting sqref="Z77">
    <cfRule type="expression" dxfId="8" priority="5">
      <formula>IF($I$15="",0,1)</formula>
    </cfRule>
  </conditionalFormatting>
  <conditionalFormatting sqref="Z85">
    <cfRule type="expression" dxfId="7" priority="10">
      <formula>IF($I$15="",0,1)</formula>
    </cfRule>
  </conditionalFormatting>
  <conditionalFormatting sqref="Z39:AA39">
    <cfRule type="expression" dxfId="6" priority="61" stopIfTrue="1">
      <formula>IF($B$9&lt;&gt;"consulenza",1,0)</formula>
    </cfRule>
  </conditionalFormatting>
  <conditionalFormatting sqref="Z13:AH13">
    <cfRule type="expression" dxfId="5" priority="18">
      <formula>IF($K$13="contratto di lavoro subordinato con altro datore di lavoro",1,0)</formula>
    </cfRule>
  </conditionalFormatting>
  <conditionalFormatting sqref="Z18:AH20">
    <cfRule type="expression" dxfId="4" priority="48">
      <formula>IF($V$18="Nulla Osta",1,0)</formula>
    </cfRule>
  </conditionalFormatting>
  <conditionalFormatting sqref="Z43:AH43">
    <cfRule type="expression" dxfId="3" priority="50">
      <formula>$Z$41="ALTRO"</formula>
    </cfRule>
  </conditionalFormatting>
  <conditionalFormatting sqref="AB55">
    <cfRule type="expression" dxfId="2" priority="44" stopIfTrue="1">
      <formula>IF($Y$55="Specificare",1,0)</formula>
    </cfRule>
  </conditionalFormatting>
  <conditionalFormatting sqref="AF60:AG60">
    <cfRule type="expression" dxfId="1" priority="35" stopIfTrue="1">
      <formula>IF($B$9="CONSULENZA",1,0)</formula>
    </cfRule>
  </conditionalFormatting>
  <conditionalFormatting sqref="AF48:AH48">
    <cfRule type="expression" dxfId="0" priority="24">
      <formula>IF(ISERROR(SEARCH("23102405",$I$41)),1,0)</formula>
    </cfRule>
  </conditionalFormatting>
  <dataValidations count="11">
    <dataValidation type="list" allowBlank="1" showInputMessage="1" showErrorMessage="1" sqref="B9:P9" xr:uid="{00000000-0002-0000-0000-000000000000}">
      <formula1>$AT$4:$AT$8</formula1>
    </dataValidation>
    <dataValidation type="list" allowBlank="1" showInputMessage="1" showErrorMessage="1" sqref="Z13 I15:J15 AF60:AG60 I37:R37 Z22" xr:uid="{00000000-0002-0000-0000-000001000000}">
      <formula1>$AT$110:$AT$112</formula1>
    </dataValidation>
    <dataValidation type="list" allowBlank="1" showInputMessage="1" showErrorMessage="1" sqref="L22" xr:uid="{93673BCC-808C-0C4F-973A-206513802BD0}">
      <formula1>$AT$20:$AT$21</formula1>
    </dataValidation>
    <dataValidation type="list" allowBlank="1" showInputMessage="1" showErrorMessage="1" sqref="F62 Z18:Z20" xr:uid="{CD6E30F2-15FF-924B-B4F6-DBA2E496D165}">
      <formula1>$AT$111:$AT$112</formula1>
    </dataValidation>
    <dataValidation type="list" allowBlank="1" showInputMessage="1" showErrorMessage="1" sqref="AC51" xr:uid="{485CE144-1EEF-5848-B175-2C1C7AAF272D}">
      <formula1>$AT$116:$AT$119</formula1>
    </dataValidation>
    <dataValidation type="list" allowBlank="1" showInputMessage="1" showErrorMessage="1" sqref="E64:H64" xr:uid="{3B860932-E176-E943-9190-BB9BD3EB0FAD}">
      <formula1>$AS$13:$AS$14</formula1>
    </dataValidation>
    <dataValidation type="list" allowBlank="1" showInputMessage="1" showErrorMessage="1" sqref="Z37:AH37" xr:uid="{00000000-0002-0000-0000-000007000000}">
      <formula1>$AU$109:$AU$140</formula1>
    </dataValidation>
    <dataValidation type="list" allowBlank="1" showInputMessage="1" showErrorMessage="1" sqref="K13:X13" xr:uid="{E0283F43-A8FF-1745-835A-B8D537E4BA25}">
      <formula1>$AS$16:$AS$18</formula1>
    </dataValidation>
    <dataValidation type="list" allowBlank="1" showInputMessage="1" showErrorMessage="1" sqref="Z41:AH41" xr:uid="{5A5965BC-32D6-6B46-ACD3-19F44F559AE4}">
      <formula1>$AT$78:$AT$86</formula1>
    </dataValidation>
    <dataValidation type="list" allowBlank="1" showInputMessage="1" showErrorMessage="1" sqref="I41:R41" xr:uid="{00000000-0002-0000-0000-000009000000}">
      <formula1>$AS$78:$AS$183</formula1>
    </dataValidation>
    <dataValidation type="list" allowBlank="1" showInputMessage="1" showErrorMessage="1" sqref="I18" xr:uid="{DD259E6B-D513-3F4F-A74D-7B871E7AE396}">
      <formula1>$AT$14:$AT$17</formula1>
    </dataValidation>
  </dataValidations>
  <pageMargins left="0.70866141732283505" right="0.70866141732283505" top="0.74803149606299202" bottom="0.74803149606299202" header="0.31496062992126" footer="0.31496062992126"/>
  <pageSetup paperSize="9" scale="36" orientation="portrait" horizontalDpi="4294967292" verticalDpi="4294967292"/>
  <headerFooter alignWithMargins="0">
    <oddFooter>&amp;CPagina &amp;P di &amp;N</oddFooter>
  </headerFooter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QUALIFICHE!$A$7:$A$20</xm:f>
          </x14:formula1>
          <xm:sqref>I43:R43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5:F21"/>
  <sheetViews>
    <sheetView zoomScale="118" zoomScaleNormal="118" workbookViewId="0">
      <selection activeCell="D2" sqref="D2"/>
    </sheetView>
  </sheetViews>
  <sheetFormatPr baseColWidth="10" defaultColWidth="10.6640625" defaultRowHeight="12"/>
  <cols>
    <col min="1" max="1" width="26.6640625" style="1" bestFit="1" customWidth="1"/>
    <col min="2" max="2" width="82.83203125" style="2" customWidth="1"/>
    <col min="3" max="3" width="13.1640625" style="2" bestFit="1" customWidth="1"/>
    <col min="4" max="4" width="8" style="2" bestFit="1" customWidth="1"/>
    <col min="5" max="5" width="13.1640625" style="2" bestFit="1" customWidth="1"/>
    <col min="6" max="6" width="18.1640625" style="2" customWidth="1"/>
    <col min="7" max="16384" width="10.6640625" style="2"/>
  </cols>
  <sheetData>
    <row r="5" spans="1:6" s="4" customFormat="1" ht="14">
      <c r="A5" s="3"/>
      <c r="C5" s="194" t="s">
        <v>30</v>
      </c>
      <c r="D5" s="194"/>
      <c r="E5" s="194" t="s">
        <v>31</v>
      </c>
      <c r="F5" s="194"/>
    </row>
    <row r="6" spans="1:6" s="4" customFormat="1" ht="31" thickBot="1">
      <c r="A6" s="5" t="s">
        <v>36</v>
      </c>
      <c r="B6" s="6" t="s">
        <v>37</v>
      </c>
      <c r="C6" s="7" t="s">
        <v>32</v>
      </c>
      <c r="D6" s="7" t="s">
        <v>33</v>
      </c>
      <c r="E6" s="7" t="s">
        <v>32</v>
      </c>
      <c r="F6" s="7" t="s">
        <v>56</v>
      </c>
    </row>
    <row r="7" spans="1:6" s="4" customFormat="1" ht="166" thickBot="1">
      <c r="A7" s="94" t="s">
        <v>108</v>
      </c>
      <c r="B7" s="55" t="s">
        <v>217</v>
      </c>
      <c r="C7" s="87">
        <v>70000</v>
      </c>
      <c r="D7" s="88">
        <v>50.31</v>
      </c>
      <c r="E7" s="89" t="s">
        <v>111</v>
      </c>
      <c r="F7" s="89" t="s">
        <v>111</v>
      </c>
    </row>
    <row r="8" spans="1:6" s="4" customFormat="1" ht="166" thickBot="1">
      <c r="A8" s="95" t="s">
        <v>38</v>
      </c>
      <c r="B8" s="55" t="s">
        <v>218</v>
      </c>
      <c r="C8" s="90">
        <v>60000</v>
      </c>
      <c r="D8" s="91">
        <v>43.12</v>
      </c>
      <c r="E8" s="92" t="s">
        <v>111</v>
      </c>
      <c r="F8" s="92" t="s">
        <v>111</v>
      </c>
    </row>
    <row r="9" spans="1:6" s="4" customFormat="1" ht="211" thickBot="1">
      <c r="A9" s="94" t="s">
        <v>73</v>
      </c>
      <c r="B9" s="55" t="s">
        <v>219</v>
      </c>
      <c r="C9" s="90">
        <v>40000</v>
      </c>
      <c r="D9" s="91">
        <v>28.75</v>
      </c>
      <c r="E9" s="93">
        <v>80000</v>
      </c>
      <c r="F9" s="91">
        <v>57.5</v>
      </c>
    </row>
    <row r="10" spans="1:6" s="4" customFormat="1" ht="91" thickBot="1">
      <c r="A10" s="94" t="s">
        <v>64</v>
      </c>
      <c r="B10" s="54" t="s">
        <v>220</v>
      </c>
      <c r="C10" s="90">
        <v>33000</v>
      </c>
      <c r="D10" s="91">
        <v>23.72</v>
      </c>
      <c r="E10" s="93">
        <v>65000</v>
      </c>
      <c r="F10" s="91">
        <v>46.72</v>
      </c>
    </row>
    <row r="11" spans="1:6" s="4" customFormat="1" ht="61" thickBot="1">
      <c r="A11" s="94" t="s">
        <v>19</v>
      </c>
      <c r="B11" s="55" t="s">
        <v>221</v>
      </c>
      <c r="C11" s="90">
        <v>28000</v>
      </c>
      <c r="D11" s="91">
        <v>20.12</v>
      </c>
      <c r="E11" s="93">
        <v>55000</v>
      </c>
      <c r="F11" s="91">
        <v>39.54</v>
      </c>
    </row>
    <row r="12" spans="1:6" s="4" customFormat="1" ht="76" thickBot="1">
      <c r="A12" s="94" t="s">
        <v>18</v>
      </c>
      <c r="B12" s="55" t="s">
        <v>222</v>
      </c>
      <c r="C12" s="90">
        <v>17000</v>
      </c>
      <c r="D12" s="91">
        <v>12.22</v>
      </c>
      <c r="E12" s="93">
        <v>30000</v>
      </c>
      <c r="F12" s="91">
        <v>21.56</v>
      </c>
    </row>
    <row r="13" spans="1:6" s="4" customFormat="1" ht="166" thickBot="1">
      <c r="A13" s="94" t="s">
        <v>213</v>
      </c>
      <c r="B13" s="54" t="s">
        <v>223</v>
      </c>
      <c r="C13" s="90">
        <v>70000</v>
      </c>
      <c r="D13" s="91">
        <v>50.31</v>
      </c>
      <c r="E13" s="92" t="s">
        <v>111</v>
      </c>
      <c r="F13" s="92" t="s">
        <v>111</v>
      </c>
    </row>
    <row r="14" spans="1:6" s="4" customFormat="1" ht="166" thickBot="1">
      <c r="A14" s="94" t="s">
        <v>214</v>
      </c>
      <c r="B14" s="54" t="s">
        <v>224</v>
      </c>
      <c r="C14" s="90">
        <v>50000</v>
      </c>
      <c r="D14" s="91">
        <v>35.94</v>
      </c>
      <c r="E14" s="91">
        <v>70000</v>
      </c>
      <c r="F14" s="91">
        <v>50.31</v>
      </c>
    </row>
    <row r="15" spans="1:6" s="4" customFormat="1" ht="136" thickBot="1">
      <c r="A15" s="94" t="s">
        <v>215</v>
      </c>
      <c r="B15" s="86" t="s">
        <v>225</v>
      </c>
      <c r="C15" s="90">
        <v>35000</v>
      </c>
      <c r="D15" s="91">
        <v>25.16</v>
      </c>
      <c r="E15" s="91">
        <v>60000</v>
      </c>
      <c r="F15" s="91">
        <v>43.12</v>
      </c>
    </row>
    <row r="16" spans="1:6" s="4" customFormat="1" ht="76" thickBot="1">
      <c r="A16" s="94" t="s">
        <v>216</v>
      </c>
      <c r="B16" s="54" t="s">
        <v>226</v>
      </c>
      <c r="C16" s="90">
        <v>21000</v>
      </c>
      <c r="D16" s="91">
        <v>15.09</v>
      </c>
      <c r="E16" s="93">
        <v>40000</v>
      </c>
      <c r="F16" s="91">
        <v>28.75</v>
      </c>
    </row>
    <row r="17" spans="1:6" s="4" customFormat="1" ht="151" thickBot="1">
      <c r="A17" s="94" t="s">
        <v>69</v>
      </c>
      <c r="B17" s="54" t="s">
        <v>227</v>
      </c>
      <c r="C17" s="90">
        <v>38000</v>
      </c>
      <c r="D17" s="91">
        <v>27.31</v>
      </c>
      <c r="E17" s="92" t="s">
        <v>111</v>
      </c>
      <c r="F17" s="92" t="s">
        <v>111</v>
      </c>
    </row>
    <row r="18" spans="1:6" s="4" customFormat="1" ht="151" thickBot="1">
      <c r="A18" s="94" t="s">
        <v>6</v>
      </c>
      <c r="B18" s="55" t="s">
        <v>228</v>
      </c>
      <c r="C18" s="90">
        <v>33000</v>
      </c>
      <c r="D18" s="91">
        <v>23.72</v>
      </c>
      <c r="E18" s="92" t="s">
        <v>111</v>
      </c>
      <c r="F18" s="92" t="s">
        <v>111</v>
      </c>
    </row>
    <row r="19" spans="1:6" s="4" customFormat="1" ht="181" thickBot="1">
      <c r="A19" s="94" t="s">
        <v>12</v>
      </c>
      <c r="B19" s="54" t="s">
        <v>229</v>
      </c>
      <c r="C19" s="90">
        <v>22000</v>
      </c>
      <c r="D19" s="91">
        <v>15.81</v>
      </c>
      <c r="E19" s="93">
        <v>45000</v>
      </c>
      <c r="F19" s="91">
        <v>32.340000000000003</v>
      </c>
    </row>
    <row r="20" spans="1:6" s="4" customFormat="1" ht="15">
      <c r="A20" s="5" t="s">
        <v>20</v>
      </c>
      <c r="B20" s="191" t="s">
        <v>68</v>
      </c>
      <c r="C20" s="192"/>
      <c r="D20" s="192"/>
      <c r="E20" s="192"/>
      <c r="F20" s="193"/>
    </row>
    <row r="21" spans="1:6">
      <c r="A21" s="2"/>
    </row>
  </sheetData>
  <sheetProtection algorithmName="SHA-512" hashValue="GLFlBl5c+D4+c2sQ9vqdRhW1ov8hiPd6CqM53eWCuvv3y6L6IZjD3jdcTpulRZUKUpoCSAiGMWBT/FzSxD66Ew==" saltValue="CMsxG/Ozzdg0iD9lwEaNug==" spinCount="100000" sheet="1" formatRows="0"/>
  <mergeCells count="3">
    <mergeCell ref="B20:F20"/>
    <mergeCell ref="C5:D5"/>
    <mergeCell ref="E5:F5"/>
  </mergeCells>
  <phoneticPr fontId="7" type="noConversion"/>
  <printOptions horizontalCentered="1" verticalCentered="1"/>
  <pageMargins left="0.70000000000000007" right="0.70000000000000007" top="0.75000000000000011" bottom="0.75000000000000011" header="0.30000000000000004" footer="0.30000000000000004"/>
  <pageSetup paperSize="9" scale="54" orientation="portrait" horizontalDpi="0" verticalDpi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2</vt:i4>
      </vt:variant>
    </vt:vector>
  </HeadingPairs>
  <TitlesOfParts>
    <vt:vector size="4" baseType="lpstr">
      <vt:lpstr>MOD.09-GRU</vt:lpstr>
      <vt:lpstr>QUALIFICHE</vt:lpstr>
      <vt:lpstr>QUALIFICHE!Area_stampa</vt:lpstr>
      <vt:lpstr>'MOD.09-GRU'!Titoli_stampa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Gambaro</dc:creator>
  <cp:lastModifiedBy>Elena Pezzuto</cp:lastModifiedBy>
  <cp:lastPrinted>2019-05-06T09:25:11Z</cp:lastPrinted>
  <dcterms:created xsi:type="dcterms:W3CDTF">2013-11-14T14:50:33Z</dcterms:created>
  <dcterms:modified xsi:type="dcterms:W3CDTF">2025-12-24T08:40:33Z</dcterms:modified>
</cp:coreProperties>
</file>